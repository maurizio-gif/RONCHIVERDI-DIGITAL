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nchiverdisportclub-my.sharepoint.com/personal/l_gravante_ronchiverdi_it/Documents/Desktop/"/>
    </mc:Choice>
  </mc:AlternateContent>
  <xr:revisionPtr revIDLastSave="1" documentId="8_{5DAF9764-78D7-40BD-86C3-70ED3405215E}" xr6:coauthVersionLast="47" xr6:coauthVersionMax="47" xr10:uidLastSave="{7E1F27DA-9EE7-4DD1-8707-200FBF4B8FE7}"/>
  <bookViews>
    <workbookView xWindow="-120" yWindow="-120" windowWidth="19440" windowHeight="11520" xr2:uid="{C21E5FE1-E095-447A-9DC3-E6E5C6F8962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34" i="1" l="1"/>
  <c r="AC34" i="1"/>
  <c r="AB34" i="1"/>
  <c r="Z34" i="1"/>
  <c r="AA34" i="1" s="1"/>
  <c r="Y34" i="1"/>
  <c r="V34" i="1"/>
  <c r="W34" i="1" s="1"/>
  <c r="U34" i="1"/>
  <c r="S34" i="1"/>
  <c r="T34" i="1" s="1"/>
  <c r="R34" i="1"/>
  <c r="T31" i="1"/>
  <c r="T30" i="1"/>
  <c r="T29" i="1"/>
  <c r="T28" i="1"/>
  <c r="T25" i="1"/>
  <c r="T24" i="1"/>
  <c r="T23" i="1"/>
  <c r="T22" i="1"/>
  <c r="W21" i="1"/>
  <c r="T21" i="1"/>
  <c r="W18" i="1"/>
  <c r="T18" i="1"/>
  <c r="W17" i="1"/>
  <c r="T17" i="1"/>
  <c r="T16" i="1"/>
  <c r="W15" i="1"/>
  <c r="T15" i="1"/>
  <c r="W14" i="1"/>
  <c r="T14" i="1"/>
  <c r="T12" i="1"/>
  <c r="T11" i="1"/>
  <c r="W10" i="1"/>
  <c r="T10" i="1"/>
  <c r="T9" i="1"/>
  <c r="T8" i="1"/>
  <c r="T7" i="1"/>
  <c r="T4" i="1"/>
  <c r="T3" i="1"/>
  <c r="J3" i="1"/>
  <c r="I3" i="1"/>
  <c r="H3" i="1"/>
</calcChain>
</file>

<file path=xl/sharedStrings.xml><?xml version="1.0" encoding="utf-8"?>
<sst xmlns="http://schemas.openxmlformats.org/spreadsheetml/2006/main" count="469" uniqueCount="164">
  <si>
    <t>GESTIONE ABBONAMENTI YLENIA</t>
  </si>
  <si>
    <r>
      <t>OBIETTIVO:</t>
    </r>
    <r>
      <rPr>
        <b/>
        <sz val="11"/>
        <rFont val="Helvetica 45 Light"/>
      </rPr>
      <t xml:space="preserve"> </t>
    </r>
  </si>
  <si>
    <t>GOAL 
GIORNALIERO</t>
  </si>
  <si>
    <t>CONTATTI/
TELEF</t>
  </si>
  <si>
    <t xml:space="preserve">APP.TI 
FISSATI </t>
  </si>
  <si>
    <t>%APP. 
RATIO.</t>
  </si>
  <si>
    <t>APP.TI 
(GIORNO STESSO)</t>
  </si>
  <si>
    <t>APP.TI SVOLTI 
(GIORNO STESSO)</t>
  </si>
  <si>
    <t>% SHOW RATIO.</t>
  </si>
  <si>
    <t>%CLOSE (APP.)</t>
  </si>
  <si>
    <t>WALK IN</t>
  </si>
  <si>
    <t>WALK IN 
CHIUSI</t>
  </si>
  <si>
    <t>% CLOSE 
RATIO (WI)</t>
  </si>
  <si>
    <t>REFERRAL</t>
  </si>
  <si>
    <t>TOTAL
 SALES</t>
  </si>
  <si>
    <t>N. triple pack</t>
  </si>
  <si>
    <t>MTD</t>
  </si>
  <si>
    <t>n. sales</t>
  </si>
  <si>
    <t>DATA</t>
  </si>
  <si>
    <t>NOTE</t>
  </si>
  <si>
    <t>NOME COGNOME</t>
  </si>
  <si>
    <t>ETA'</t>
  </si>
  <si>
    <t>SEX</t>
  </si>
  <si>
    <t>IMPORTO</t>
  </si>
  <si>
    <t>QUOTA ISCR</t>
  </si>
  <si>
    <t>VISITA</t>
  </si>
  <si>
    <t>TRIPLE 
PACK</t>
  </si>
  <si>
    <t>MESI</t>
  </si>
  <si>
    <t>TELEFONO</t>
  </si>
  <si>
    <t>PHONE IN</t>
  </si>
  <si>
    <t>SPONSORIZZATA SUMMER</t>
  </si>
  <si>
    <t>DIANA FAUSTINA</t>
  </si>
  <si>
    <t>F</t>
  </si>
  <si>
    <t>ISCRITTA CON SEMESTRALE SUMMER</t>
  </si>
  <si>
    <t>REF SOCIO</t>
  </si>
  <si>
    <t>PROMO SUMMER WA</t>
  </si>
  <si>
    <t>TIZIANA BATTAGLIA</t>
  </si>
  <si>
    <t>ISCRITTO CON MENSILE SUMMER</t>
  </si>
  <si>
    <t>Off</t>
  </si>
  <si>
    <t>EMAIL</t>
  </si>
  <si>
    <t>ABITA QUI VICINO</t>
  </si>
  <si>
    <t>MORRA BEAN DIEGO PAOLO</t>
  </si>
  <si>
    <t>M</t>
  </si>
  <si>
    <t>ISCRITTO CON U30 SILVER</t>
  </si>
  <si>
    <t>CERRATO MARTINA</t>
  </si>
  <si>
    <t>ISCRITTA CON U30 SILVER</t>
  </si>
  <si>
    <t>CARELLI MARIANGELA</t>
  </si>
  <si>
    <t>ISCRITTA CON 4 MESI SUMMER</t>
  </si>
  <si>
    <t>BRUSA ARTEMIO</t>
  </si>
  <si>
    <t>ISCRITTO CON 4 MESI SUMMER</t>
  </si>
  <si>
    <t>EX SOCIO</t>
  </si>
  <si>
    <t>MONTI FABRIZIO</t>
  </si>
  <si>
    <t>ISCRITTO CON ABB.TO GYM</t>
  </si>
  <si>
    <t>EX SOCIA</t>
  </si>
  <si>
    <t>PERANI ROBERTA</t>
  </si>
  <si>
    <t>ISCRITTA CON ABB.TO GYM</t>
  </si>
  <si>
    <t>DI BENEDETTO SABRINA</t>
  </si>
  <si>
    <t>ISCRITTA CON ABB.TO SILVER U35</t>
  </si>
  <si>
    <t>LAVORA QUI VICINO</t>
  </si>
  <si>
    <t>GHELLERE ILARIA</t>
  </si>
  <si>
    <t>ISCRITTA CON ABB.TO SILVER FOR FAMILY</t>
  </si>
  <si>
    <t>ALLEVA GIORGIO</t>
  </si>
  <si>
    <t>ISCRITTO CON ABB.TO SILVER FOR FAMILY</t>
  </si>
  <si>
    <t>REF ROLLE</t>
  </si>
  <si>
    <t>RIVOIRA ALBERTO</t>
  </si>
  <si>
    <t>ISCRITTO CON ABB.TO SWIM INDOOR</t>
  </si>
  <si>
    <t>NEWSLETTER SUMMER</t>
  </si>
  <si>
    <t>MORACCHINI BENEDETTA</t>
  </si>
  <si>
    <t>REF SOCIO (POS)</t>
  </si>
  <si>
    <t>PECORARI ELENA</t>
  </si>
  <si>
    <t>ISCRITTA CON ABB.TO SWIM INDOOR</t>
  </si>
  <si>
    <t>SOCIO</t>
  </si>
  <si>
    <t>SWITCH</t>
  </si>
  <si>
    <t>CANOVA MARELLA</t>
  </si>
  <si>
    <t xml:space="preserve">SWITCH ABB.TO </t>
  </si>
  <si>
    <t>BIANCO LUCA</t>
  </si>
  <si>
    <t>CERASO ROBERTA</t>
  </si>
  <si>
    <t>MARTINOTTI SILVIA</t>
  </si>
  <si>
    <t>ISCRITTA CON MENSILE SUMMER</t>
  </si>
  <si>
    <t>FAALI FATIMA</t>
  </si>
  <si>
    <t>ISCRITTA CON ABB.TO U35 GOLD</t>
  </si>
  <si>
    <t>SHOOLZ SABINE</t>
  </si>
  <si>
    <t>ISCRTTA CON QUADRIMESTRALE SUMMER</t>
  </si>
  <si>
    <t>FAVA ROBERTA</t>
  </si>
  <si>
    <t>LIVIO LO BIONDO</t>
  </si>
  <si>
    <t>BERARDI EDOARDO</t>
  </si>
  <si>
    <t>ISCRITTO CON ABB.TO GOLD</t>
  </si>
  <si>
    <t>DI CAPRIO FABIANA</t>
  </si>
  <si>
    <t>ISCRITTA CON ABB.TO U35 SILVER</t>
  </si>
  <si>
    <t>CAMPI PATRIZIA</t>
  </si>
  <si>
    <t>VARDEU MARIA PAOLA</t>
  </si>
  <si>
    <t>ISCRITTA CON ABB.TO SILVER</t>
  </si>
  <si>
    <t>REF SOCIA</t>
  </si>
  <si>
    <t>PRANDI MARIA TERESA</t>
  </si>
  <si>
    <t>PETERLONGO ISABELLA</t>
  </si>
  <si>
    <t>ROS</t>
  </si>
  <si>
    <t>PACE MELISSA</t>
  </si>
  <si>
    <t>ROSSI CASANA LORENZO</t>
  </si>
  <si>
    <t>INTEGRAZIONE</t>
  </si>
  <si>
    <t>VAAGEN HAJNALKA</t>
  </si>
  <si>
    <t>ISCRITTA CON MENSILE GYM</t>
  </si>
  <si>
    <t>+47 97000139</t>
  </si>
  <si>
    <t>BORGEN ERIKIK</t>
  </si>
  <si>
    <t>ISCRITTO CON MENSILE GYM</t>
  </si>
  <si>
    <t>+47 47903839</t>
  </si>
  <si>
    <t>ANDRIOLA FABIANO</t>
  </si>
  <si>
    <t>GRIMALDI ROSSELLA</t>
  </si>
  <si>
    <t>ISCRITTA CON ANNUALE SILVER</t>
  </si>
  <si>
    <t>TORRI LUCA</t>
  </si>
  <si>
    <t>MAGGIORA PATRIZIA</t>
  </si>
  <si>
    <t>MONTALBANO GIOVANNI</t>
  </si>
  <si>
    <t>ISCRITTO CON ABB.TO SILVER</t>
  </si>
  <si>
    <t>GRECO ROBERTA</t>
  </si>
  <si>
    <t>DENTE EVA</t>
  </si>
  <si>
    <t>ZUMELLI LUISA</t>
  </si>
  <si>
    <t>MESE DI PROVA</t>
  </si>
  <si>
    <t>BADINI ADELAIDE</t>
  </si>
  <si>
    <t>ISCRITTA CON ABB.TO SILVER U30</t>
  </si>
  <si>
    <t>REF LORIS</t>
  </si>
  <si>
    <t>ALESSANDRO IANNONE</t>
  </si>
  <si>
    <t>ISCRITTO CON ABB.TO GYM U30</t>
  </si>
  <si>
    <t>CATERINA MELE</t>
  </si>
  <si>
    <t>ANTONIOLI MICHELA</t>
  </si>
  <si>
    <t>MAZZITELLI ROBERTA</t>
  </si>
  <si>
    <t>SOCIA</t>
  </si>
  <si>
    <t>TRIPLE PACK</t>
  </si>
  <si>
    <t>VALENTINA MENSA</t>
  </si>
  <si>
    <t>ACQUISTATO TRIPLE PACK</t>
  </si>
  <si>
    <t>GHIRONI ELGA</t>
  </si>
  <si>
    <t>MONTUORI CLAUDIA</t>
  </si>
  <si>
    <t>MICCOLI CLARISSA</t>
  </si>
  <si>
    <t>ISCRITTA CON ABB.TO U14 GOLD</t>
  </si>
  <si>
    <t>NOCERITO MAURO</t>
  </si>
  <si>
    <t>ISCRITTO CON SEMESTRALE SILVER</t>
  </si>
  <si>
    <t>FIORE STEFANIA</t>
  </si>
  <si>
    <t xml:space="preserve">ISCRITTA CON QUADRIMESTRALE </t>
  </si>
  <si>
    <t>CRENNA ELENA</t>
  </si>
  <si>
    <t>MODAFFARI FRANCO</t>
  </si>
  <si>
    <t>CHRISTENSEN ISA</t>
  </si>
  <si>
    <t>ISCRITTA CON ABB.TO U30 GOLD</t>
  </si>
  <si>
    <t>FERRARA ALDO</t>
  </si>
  <si>
    <t>ISCRITTO CON ABB.TO QUADRIMESTRALE</t>
  </si>
  <si>
    <t>GUBETTA LUDOVICA</t>
  </si>
  <si>
    <t>GIANOGLIO GIUSEPPE</t>
  </si>
  <si>
    <t>GUASCO GIANCARLO</t>
  </si>
  <si>
    <t>FILIPPUCCI VIVIANA</t>
  </si>
  <si>
    <t>CRESTA SIMONA</t>
  </si>
  <si>
    <t>ISCRTTA CON ABB.TO SILVER</t>
  </si>
  <si>
    <t>YARMOLIUK OKSANA</t>
  </si>
  <si>
    <t>DALMASSO FERNANDO</t>
  </si>
  <si>
    <t>LAZZARA STEFANIA</t>
  </si>
  <si>
    <t>SELIVANOVA OLEKSANDRA</t>
  </si>
  <si>
    <t>TUTINO GIUSEPPE</t>
  </si>
  <si>
    <t>ISCRITTO CON QUADRIMESTRALE</t>
  </si>
  <si>
    <t>PARODI JOAQUIN</t>
  </si>
  <si>
    <t>ISCRITTO CON ABB.TO U30 GOLD</t>
  </si>
  <si>
    <t>REY VERONICA</t>
  </si>
  <si>
    <t>CONTE ANASTASIA</t>
  </si>
  <si>
    <t>ISCRITTA CON MENSILE ESTIVO</t>
  </si>
  <si>
    <t>ROVERSI ENRICO</t>
  </si>
  <si>
    <t>ISCRITTO CON MENSILE ESTIVO</t>
  </si>
  <si>
    <t>MAX</t>
  </si>
  <si>
    <t>CAPITAL CONSULTING SRL</t>
  </si>
  <si>
    <t>ISCRITTO CON ABB.TO EXCLUSIVE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</si>
</sst>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"/>
    <numFmt numFmtId="165" formatCode="[$-F800]dddd\,\ mmmm\ dd\,\ yyyy"/>
    <numFmt numFmtId="166" formatCode="#,##0\ _€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9"/>
      <name val="Helvetica 45 Light"/>
    </font>
    <font>
      <b/>
      <sz val="11"/>
      <name val="Helvetica 45 Light"/>
    </font>
    <font>
      <b/>
      <sz val="8"/>
      <name val="Helvetica 45 Light"/>
      <family val="2"/>
    </font>
    <font>
      <b/>
      <sz val="9"/>
      <name val="Helvetica 45 Light"/>
      <family val="2"/>
    </font>
    <font>
      <b/>
      <sz val="9"/>
      <name val="Arial"/>
      <family val="2"/>
    </font>
    <font>
      <b/>
      <sz val="10"/>
      <color theme="1"/>
      <name val="Arial Narrow"/>
      <family val="2"/>
    </font>
    <font>
      <b/>
      <sz val="12"/>
      <color theme="1"/>
      <name val="Aptos Narrow"/>
      <family val="2"/>
      <scheme val="minor"/>
    </font>
    <font>
      <b/>
      <sz val="10"/>
      <name val="Helvetica 45 Light"/>
      <family val="2"/>
    </font>
    <font>
      <b/>
      <sz val="10"/>
      <name val="Arial"/>
      <family val="2"/>
    </font>
    <font>
      <b/>
      <sz val="10"/>
      <name val="Arial Narrow"/>
      <family val="2"/>
    </font>
    <font>
      <sz val="10"/>
      <color theme="4" tint="0.59999389629810485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strike/>
      <sz val="11"/>
      <color theme="1"/>
      <name val="Arial Narrow"/>
      <family val="2"/>
    </font>
    <font>
      <sz val="11"/>
      <color rgb="FFFF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E5B7B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164" fontId="15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5" fontId="16" fillId="4" borderId="1" xfId="0" applyNumberFormat="1" applyFont="1" applyFill="1" applyBorder="1" applyAlignment="1">
      <alignment horizontal="center" vertical="center"/>
    </xf>
    <xf numFmtId="49" fontId="16" fillId="4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164" fontId="16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4" fontId="16" fillId="4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0" fillId="0" borderId="1" xfId="0" applyBorder="1"/>
    <xf numFmtId="9" fontId="16" fillId="4" borderId="1" xfId="1" applyFont="1" applyFill="1" applyBorder="1" applyAlignment="1">
      <alignment horizontal="center" vertical="center"/>
    </xf>
    <xf numFmtId="166" fontId="16" fillId="4" borderId="1" xfId="0" applyNumberFormat="1" applyFont="1" applyFill="1" applyBorder="1" applyAlignment="1">
      <alignment horizontal="center" vertical="center"/>
    </xf>
    <xf numFmtId="9" fontId="17" fillId="0" borderId="1" xfId="1" applyFont="1" applyBorder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9" fontId="17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9" fontId="17" fillId="7" borderId="1" xfId="1" applyFont="1" applyFill="1" applyBorder="1" applyAlignment="1">
      <alignment horizontal="center"/>
    </xf>
    <xf numFmtId="9" fontId="19" fillId="5" borderId="1" xfId="0" applyNumberFormat="1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9" fontId="17" fillId="8" borderId="1" xfId="1" applyFont="1" applyFill="1" applyBorder="1" applyAlignment="1">
      <alignment horizontal="center"/>
    </xf>
    <xf numFmtId="165" fontId="16" fillId="4" borderId="2" xfId="0" applyNumberFormat="1" applyFont="1" applyFill="1" applyBorder="1" applyAlignment="1">
      <alignment horizontal="center" vertical="center"/>
    </xf>
    <xf numFmtId="0" fontId="0" fillId="9" borderId="0" xfId="0" applyFill="1"/>
    <xf numFmtId="9" fontId="0" fillId="9" borderId="0" xfId="0" applyNumberFormat="1" applyFill="1"/>
    <xf numFmtId="0" fontId="16" fillId="6" borderId="1" xfId="0" applyFont="1" applyFill="1" applyBorder="1" applyAlignment="1">
      <alignment horizontal="center"/>
    </xf>
    <xf numFmtId="164" fontId="0" fillId="0" borderId="1" xfId="0" applyNumberFormat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2873-7E9E-4783-80BD-ED93E94E12B6}">
  <dimension ref="A1:AE87"/>
  <sheetViews>
    <sheetView tabSelected="1" topLeftCell="A17" workbookViewId="0">
      <selection activeCell="E21" sqref="E21"/>
    </sheetView>
  </sheetViews>
  <sheetFormatPr defaultRowHeight="15"/>
  <cols>
    <col min="1" max="1" width="4.5703125" customWidth="1"/>
    <col min="2" max="2" width="9.85546875" customWidth="1"/>
    <col min="3" max="3" width="19.7109375" customWidth="1"/>
    <col min="4" max="4" width="25.5703125" customWidth="1"/>
    <col min="5" max="5" width="26.7109375" customWidth="1"/>
    <col min="6" max="6" width="5.140625" customWidth="1"/>
    <col min="7" max="7" width="4.85546875" customWidth="1"/>
    <col min="13" max="13" width="37.140625" customWidth="1"/>
    <col min="14" max="14" width="12.140625" customWidth="1"/>
    <col min="16" max="16" width="22.28515625" customWidth="1"/>
    <col min="28" max="28" width="9.85546875" customWidth="1"/>
    <col min="257" max="257" width="4.5703125" customWidth="1"/>
    <col min="258" max="258" width="9.85546875" customWidth="1"/>
    <col min="259" max="259" width="19.7109375" customWidth="1"/>
    <col min="260" max="260" width="25.5703125" customWidth="1"/>
    <col min="261" max="261" width="26.7109375" customWidth="1"/>
    <col min="262" max="262" width="5.140625" customWidth="1"/>
    <col min="263" max="263" width="4.85546875" customWidth="1"/>
    <col min="269" max="269" width="37.140625" customWidth="1"/>
    <col min="270" max="270" width="12.140625" customWidth="1"/>
    <col min="272" max="272" width="22.28515625" customWidth="1"/>
    <col min="284" max="284" width="9.85546875" customWidth="1"/>
    <col min="513" max="513" width="4.5703125" customWidth="1"/>
    <col min="514" max="514" width="9.85546875" customWidth="1"/>
    <col min="515" max="515" width="19.7109375" customWidth="1"/>
    <col min="516" max="516" width="25.5703125" customWidth="1"/>
    <col min="517" max="517" width="26.7109375" customWidth="1"/>
    <col min="518" max="518" width="5.140625" customWidth="1"/>
    <col min="519" max="519" width="4.85546875" customWidth="1"/>
    <col min="525" max="525" width="37.140625" customWidth="1"/>
    <col min="526" max="526" width="12.140625" customWidth="1"/>
    <col min="528" max="528" width="22.28515625" customWidth="1"/>
    <col min="540" max="540" width="9.85546875" customWidth="1"/>
    <col min="769" max="769" width="4.5703125" customWidth="1"/>
    <col min="770" max="770" width="9.85546875" customWidth="1"/>
    <col min="771" max="771" width="19.7109375" customWidth="1"/>
    <col min="772" max="772" width="25.5703125" customWidth="1"/>
    <col min="773" max="773" width="26.7109375" customWidth="1"/>
    <col min="774" max="774" width="5.140625" customWidth="1"/>
    <col min="775" max="775" width="4.85546875" customWidth="1"/>
    <col min="781" max="781" width="37.140625" customWidth="1"/>
    <col min="782" max="782" width="12.140625" customWidth="1"/>
    <col min="784" max="784" width="22.28515625" customWidth="1"/>
    <col min="796" max="796" width="9.85546875" customWidth="1"/>
    <col min="1025" max="1025" width="4.5703125" customWidth="1"/>
    <col min="1026" max="1026" width="9.85546875" customWidth="1"/>
    <col min="1027" max="1027" width="19.7109375" customWidth="1"/>
    <col min="1028" max="1028" width="25.5703125" customWidth="1"/>
    <col min="1029" max="1029" width="26.7109375" customWidth="1"/>
    <col min="1030" max="1030" width="5.140625" customWidth="1"/>
    <col min="1031" max="1031" width="4.85546875" customWidth="1"/>
    <col min="1037" max="1037" width="37.140625" customWidth="1"/>
    <col min="1038" max="1038" width="12.140625" customWidth="1"/>
    <col min="1040" max="1040" width="22.28515625" customWidth="1"/>
    <col min="1052" max="1052" width="9.85546875" customWidth="1"/>
    <col min="1281" max="1281" width="4.5703125" customWidth="1"/>
    <col min="1282" max="1282" width="9.85546875" customWidth="1"/>
    <col min="1283" max="1283" width="19.7109375" customWidth="1"/>
    <col min="1284" max="1284" width="25.5703125" customWidth="1"/>
    <col min="1285" max="1285" width="26.7109375" customWidth="1"/>
    <col min="1286" max="1286" width="5.140625" customWidth="1"/>
    <col min="1287" max="1287" width="4.85546875" customWidth="1"/>
    <col min="1293" max="1293" width="37.140625" customWidth="1"/>
    <col min="1294" max="1294" width="12.140625" customWidth="1"/>
    <col min="1296" max="1296" width="22.28515625" customWidth="1"/>
    <col min="1308" max="1308" width="9.85546875" customWidth="1"/>
    <col min="1537" max="1537" width="4.5703125" customWidth="1"/>
    <col min="1538" max="1538" width="9.85546875" customWidth="1"/>
    <col min="1539" max="1539" width="19.7109375" customWidth="1"/>
    <col min="1540" max="1540" width="25.5703125" customWidth="1"/>
    <col min="1541" max="1541" width="26.7109375" customWidth="1"/>
    <col min="1542" max="1542" width="5.140625" customWidth="1"/>
    <col min="1543" max="1543" width="4.85546875" customWidth="1"/>
    <col min="1549" max="1549" width="37.140625" customWidth="1"/>
    <col min="1550" max="1550" width="12.140625" customWidth="1"/>
    <col min="1552" max="1552" width="22.28515625" customWidth="1"/>
    <col min="1564" max="1564" width="9.85546875" customWidth="1"/>
    <col min="1793" max="1793" width="4.5703125" customWidth="1"/>
    <col min="1794" max="1794" width="9.85546875" customWidth="1"/>
    <col min="1795" max="1795" width="19.7109375" customWidth="1"/>
    <col min="1796" max="1796" width="25.5703125" customWidth="1"/>
    <col min="1797" max="1797" width="26.7109375" customWidth="1"/>
    <col min="1798" max="1798" width="5.140625" customWidth="1"/>
    <col min="1799" max="1799" width="4.85546875" customWidth="1"/>
    <col min="1805" max="1805" width="37.140625" customWidth="1"/>
    <col min="1806" max="1806" width="12.140625" customWidth="1"/>
    <col min="1808" max="1808" width="22.28515625" customWidth="1"/>
    <col min="1820" max="1820" width="9.85546875" customWidth="1"/>
    <col min="2049" max="2049" width="4.5703125" customWidth="1"/>
    <col min="2050" max="2050" width="9.85546875" customWidth="1"/>
    <col min="2051" max="2051" width="19.7109375" customWidth="1"/>
    <col min="2052" max="2052" width="25.5703125" customWidth="1"/>
    <col min="2053" max="2053" width="26.7109375" customWidth="1"/>
    <col min="2054" max="2054" width="5.140625" customWidth="1"/>
    <col min="2055" max="2055" width="4.85546875" customWidth="1"/>
    <col min="2061" max="2061" width="37.140625" customWidth="1"/>
    <col min="2062" max="2062" width="12.140625" customWidth="1"/>
    <col min="2064" max="2064" width="22.28515625" customWidth="1"/>
    <col min="2076" max="2076" width="9.85546875" customWidth="1"/>
    <col min="2305" max="2305" width="4.5703125" customWidth="1"/>
    <col min="2306" max="2306" width="9.85546875" customWidth="1"/>
    <col min="2307" max="2307" width="19.7109375" customWidth="1"/>
    <col min="2308" max="2308" width="25.5703125" customWidth="1"/>
    <col min="2309" max="2309" width="26.7109375" customWidth="1"/>
    <col min="2310" max="2310" width="5.140625" customWidth="1"/>
    <col min="2311" max="2311" width="4.85546875" customWidth="1"/>
    <col min="2317" max="2317" width="37.140625" customWidth="1"/>
    <col min="2318" max="2318" width="12.140625" customWidth="1"/>
    <col min="2320" max="2320" width="22.28515625" customWidth="1"/>
    <col min="2332" max="2332" width="9.85546875" customWidth="1"/>
    <col min="2561" max="2561" width="4.5703125" customWidth="1"/>
    <col min="2562" max="2562" width="9.85546875" customWidth="1"/>
    <col min="2563" max="2563" width="19.7109375" customWidth="1"/>
    <col min="2564" max="2564" width="25.5703125" customWidth="1"/>
    <col min="2565" max="2565" width="26.7109375" customWidth="1"/>
    <col min="2566" max="2566" width="5.140625" customWidth="1"/>
    <col min="2567" max="2567" width="4.85546875" customWidth="1"/>
    <col min="2573" max="2573" width="37.140625" customWidth="1"/>
    <col min="2574" max="2574" width="12.140625" customWidth="1"/>
    <col min="2576" max="2576" width="22.28515625" customWidth="1"/>
    <col min="2588" max="2588" width="9.85546875" customWidth="1"/>
    <col min="2817" max="2817" width="4.5703125" customWidth="1"/>
    <col min="2818" max="2818" width="9.85546875" customWidth="1"/>
    <col min="2819" max="2819" width="19.7109375" customWidth="1"/>
    <col min="2820" max="2820" width="25.5703125" customWidth="1"/>
    <col min="2821" max="2821" width="26.7109375" customWidth="1"/>
    <col min="2822" max="2822" width="5.140625" customWidth="1"/>
    <col min="2823" max="2823" width="4.85546875" customWidth="1"/>
    <col min="2829" max="2829" width="37.140625" customWidth="1"/>
    <col min="2830" max="2830" width="12.140625" customWidth="1"/>
    <col min="2832" max="2832" width="22.28515625" customWidth="1"/>
    <col min="2844" max="2844" width="9.85546875" customWidth="1"/>
    <col min="3073" max="3073" width="4.5703125" customWidth="1"/>
    <col min="3074" max="3074" width="9.85546875" customWidth="1"/>
    <col min="3075" max="3075" width="19.7109375" customWidth="1"/>
    <col min="3076" max="3076" width="25.5703125" customWidth="1"/>
    <col min="3077" max="3077" width="26.7109375" customWidth="1"/>
    <col min="3078" max="3078" width="5.140625" customWidth="1"/>
    <col min="3079" max="3079" width="4.85546875" customWidth="1"/>
    <col min="3085" max="3085" width="37.140625" customWidth="1"/>
    <col min="3086" max="3086" width="12.140625" customWidth="1"/>
    <col min="3088" max="3088" width="22.28515625" customWidth="1"/>
    <col min="3100" max="3100" width="9.85546875" customWidth="1"/>
    <col min="3329" max="3329" width="4.5703125" customWidth="1"/>
    <col min="3330" max="3330" width="9.85546875" customWidth="1"/>
    <col min="3331" max="3331" width="19.7109375" customWidth="1"/>
    <col min="3332" max="3332" width="25.5703125" customWidth="1"/>
    <col min="3333" max="3333" width="26.7109375" customWidth="1"/>
    <col min="3334" max="3334" width="5.140625" customWidth="1"/>
    <col min="3335" max="3335" width="4.85546875" customWidth="1"/>
    <col min="3341" max="3341" width="37.140625" customWidth="1"/>
    <col min="3342" max="3342" width="12.140625" customWidth="1"/>
    <col min="3344" max="3344" width="22.28515625" customWidth="1"/>
    <col min="3356" max="3356" width="9.85546875" customWidth="1"/>
    <col min="3585" max="3585" width="4.5703125" customWidth="1"/>
    <col min="3586" max="3586" width="9.85546875" customWidth="1"/>
    <col min="3587" max="3587" width="19.7109375" customWidth="1"/>
    <col min="3588" max="3588" width="25.5703125" customWidth="1"/>
    <col min="3589" max="3589" width="26.7109375" customWidth="1"/>
    <col min="3590" max="3590" width="5.140625" customWidth="1"/>
    <col min="3591" max="3591" width="4.85546875" customWidth="1"/>
    <col min="3597" max="3597" width="37.140625" customWidth="1"/>
    <col min="3598" max="3598" width="12.140625" customWidth="1"/>
    <col min="3600" max="3600" width="22.28515625" customWidth="1"/>
    <col min="3612" max="3612" width="9.85546875" customWidth="1"/>
    <col min="3841" max="3841" width="4.5703125" customWidth="1"/>
    <col min="3842" max="3842" width="9.85546875" customWidth="1"/>
    <col min="3843" max="3843" width="19.7109375" customWidth="1"/>
    <col min="3844" max="3844" width="25.5703125" customWidth="1"/>
    <col min="3845" max="3845" width="26.7109375" customWidth="1"/>
    <col min="3846" max="3846" width="5.140625" customWidth="1"/>
    <col min="3847" max="3847" width="4.85546875" customWidth="1"/>
    <col min="3853" max="3853" width="37.140625" customWidth="1"/>
    <col min="3854" max="3854" width="12.140625" customWidth="1"/>
    <col min="3856" max="3856" width="22.28515625" customWidth="1"/>
    <col min="3868" max="3868" width="9.85546875" customWidth="1"/>
    <col min="4097" max="4097" width="4.5703125" customWidth="1"/>
    <col min="4098" max="4098" width="9.85546875" customWidth="1"/>
    <col min="4099" max="4099" width="19.7109375" customWidth="1"/>
    <col min="4100" max="4100" width="25.5703125" customWidth="1"/>
    <col min="4101" max="4101" width="26.7109375" customWidth="1"/>
    <col min="4102" max="4102" width="5.140625" customWidth="1"/>
    <col min="4103" max="4103" width="4.85546875" customWidth="1"/>
    <col min="4109" max="4109" width="37.140625" customWidth="1"/>
    <col min="4110" max="4110" width="12.140625" customWidth="1"/>
    <col min="4112" max="4112" width="22.28515625" customWidth="1"/>
    <col min="4124" max="4124" width="9.85546875" customWidth="1"/>
    <col min="4353" max="4353" width="4.5703125" customWidth="1"/>
    <col min="4354" max="4354" width="9.85546875" customWidth="1"/>
    <col min="4355" max="4355" width="19.7109375" customWidth="1"/>
    <col min="4356" max="4356" width="25.5703125" customWidth="1"/>
    <col min="4357" max="4357" width="26.7109375" customWidth="1"/>
    <col min="4358" max="4358" width="5.140625" customWidth="1"/>
    <col min="4359" max="4359" width="4.85546875" customWidth="1"/>
    <col min="4365" max="4365" width="37.140625" customWidth="1"/>
    <col min="4366" max="4366" width="12.140625" customWidth="1"/>
    <col min="4368" max="4368" width="22.28515625" customWidth="1"/>
    <col min="4380" max="4380" width="9.85546875" customWidth="1"/>
    <col min="4609" max="4609" width="4.5703125" customWidth="1"/>
    <col min="4610" max="4610" width="9.85546875" customWidth="1"/>
    <col min="4611" max="4611" width="19.7109375" customWidth="1"/>
    <col min="4612" max="4612" width="25.5703125" customWidth="1"/>
    <col min="4613" max="4613" width="26.7109375" customWidth="1"/>
    <col min="4614" max="4614" width="5.140625" customWidth="1"/>
    <col min="4615" max="4615" width="4.85546875" customWidth="1"/>
    <col min="4621" max="4621" width="37.140625" customWidth="1"/>
    <col min="4622" max="4622" width="12.140625" customWidth="1"/>
    <col min="4624" max="4624" width="22.28515625" customWidth="1"/>
    <col min="4636" max="4636" width="9.85546875" customWidth="1"/>
    <col min="4865" max="4865" width="4.5703125" customWidth="1"/>
    <col min="4866" max="4866" width="9.85546875" customWidth="1"/>
    <col min="4867" max="4867" width="19.7109375" customWidth="1"/>
    <col min="4868" max="4868" width="25.5703125" customWidth="1"/>
    <col min="4869" max="4869" width="26.7109375" customWidth="1"/>
    <col min="4870" max="4870" width="5.140625" customWidth="1"/>
    <col min="4871" max="4871" width="4.85546875" customWidth="1"/>
    <col min="4877" max="4877" width="37.140625" customWidth="1"/>
    <col min="4878" max="4878" width="12.140625" customWidth="1"/>
    <col min="4880" max="4880" width="22.28515625" customWidth="1"/>
    <col min="4892" max="4892" width="9.85546875" customWidth="1"/>
    <col min="5121" max="5121" width="4.5703125" customWidth="1"/>
    <col min="5122" max="5122" width="9.85546875" customWidth="1"/>
    <col min="5123" max="5123" width="19.7109375" customWidth="1"/>
    <col min="5124" max="5124" width="25.5703125" customWidth="1"/>
    <col min="5125" max="5125" width="26.7109375" customWidth="1"/>
    <col min="5126" max="5126" width="5.140625" customWidth="1"/>
    <col min="5127" max="5127" width="4.85546875" customWidth="1"/>
    <col min="5133" max="5133" width="37.140625" customWidth="1"/>
    <col min="5134" max="5134" width="12.140625" customWidth="1"/>
    <col min="5136" max="5136" width="22.28515625" customWidth="1"/>
    <col min="5148" max="5148" width="9.85546875" customWidth="1"/>
    <col min="5377" max="5377" width="4.5703125" customWidth="1"/>
    <col min="5378" max="5378" width="9.85546875" customWidth="1"/>
    <col min="5379" max="5379" width="19.7109375" customWidth="1"/>
    <col min="5380" max="5380" width="25.5703125" customWidth="1"/>
    <col min="5381" max="5381" width="26.7109375" customWidth="1"/>
    <col min="5382" max="5382" width="5.140625" customWidth="1"/>
    <col min="5383" max="5383" width="4.85546875" customWidth="1"/>
    <col min="5389" max="5389" width="37.140625" customWidth="1"/>
    <col min="5390" max="5390" width="12.140625" customWidth="1"/>
    <col min="5392" max="5392" width="22.28515625" customWidth="1"/>
    <col min="5404" max="5404" width="9.85546875" customWidth="1"/>
    <col min="5633" max="5633" width="4.5703125" customWidth="1"/>
    <col min="5634" max="5634" width="9.85546875" customWidth="1"/>
    <col min="5635" max="5635" width="19.7109375" customWidth="1"/>
    <col min="5636" max="5636" width="25.5703125" customWidth="1"/>
    <col min="5637" max="5637" width="26.7109375" customWidth="1"/>
    <col min="5638" max="5638" width="5.140625" customWidth="1"/>
    <col min="5639" max="5639" width="4.85546875" customWidth="1"/>
    <col min="5645" max="5645" width="37.140625" customWidth="1"/>
    <col min="5646" max="5646" width="12.140625" customWidth="1"/>
    <col min="5648" max="5648" width="22.28515625" customWidth="1"/>
    <col min="5660" max="5660" width="9.85546875" customWidth="1"/>
    <col min="5889" max="5889" width="4.5703125" customWidth="1"/>
    <col min="5890" max="5890" width="9.85546875" customWidth="1"/>
    <col min="5891" max="5891" width="19.7109375" customWidth="1"/>
    <col min="5892" max="5892" width="25.5703125" customWidth="1"/>
    <col min="5893" max="5893" width="26.7109375" customWidth="1"/>
    <col min="5894" max="5894" width="5.140625" customWidth="1"/>
    <col min="5895" max="5895" width="4.85546875" customWidth="1"/>
    <col min="5901" max="5901" width="37.140625" customWidth="1"/>
    <col min="5902" max="5902" width="12.140625" customWidth="1"/>
    <col min="5904" max="5904" width="22.28515625" customWidth="1"/>
    <col min="5916" max="5916" width="9.85546875" customWidth="1"/>
    <col min="6145" max="6145" width="4.5703125" customWidth="1"/>
    <col min="6146" max="6146" width="9.85546875" customWidth="1"/>
    <col min="6147" max="6147" width="19.7109375" customWidth="1"/>
    <col min="6148" max="6148" width="25.5703125" customWidth="1"/>
    <col min="6149" max="6149" width="26.7109375" customWidth="1"/>
    <col min="6150" max="6150" width="5.140625" customWidth="1"/>
    <col min="6151" max="6151" width="4.85546875" customWidth="1"/>
    <col min="6157" max="6157" width="37.140625" customWidth="1"/>
    <col min="6158" max="6158" width="12.140625" customWidth="1"/>
    <col min="6160" max="6160" width="22.28515625" customWidth="1"/>
    <col min="6172" max="6172" width="9.85546875" customWidth="1"/>
    <col min="6401" max="6401" width="4.5703125" customWidth="1"/>
    <col min="6402" max="6402" width="9.85546875" customWidth="1"/>
    <col min="6403" max="6403" width="19.7109375" customWidth="1"/>
    <col min="6404" max="6404" width="25.5703125" customWidth="1"/>
    <col min="6405" max="6405" width="26.7109375" customWidth="1"/>
    <col min="6406" max="6406" width="5.140625" customWidth="1"/>
    <col min="6407" max="6407" width="4.85546875" customWidth="1"/>
    <col min="6413" max="6413" width="37.140625" customWidth="1"/>
    <col min="6414" max="6414" width="12.140625" customWidth="1"/>
    <col min="6416" max="6416" width="22.28515625" customWidth="1"/>
    <col min="6428" max="6428" width="9.85546875" customWidth="1"/>
    <col min="6657" max="6657" width="4.5703125" customWidth="1"/>
    <col min="6658" max="6658" width="9.85546875" customWidth="1"/>
    <col min="6659" max="6659" width="19.7109375" customWidth="1"/>
    <col min="6660" max="6660" width="25.5703125" customWidth="1"/>
    <col min="6661" max="6661" width="26.7109375" customWidth="1"/>
    <col min="6662" max="6662" width="5.140625" customWidth="1"/>
    <col min="6663" max="6663" width="4.85546875" customWidth="1"/>
    <col min="6669" max="6669" width="37.140625" customWidth="1"/>
    <col min="6670" max="6670" width="12.140625" customWidth="1"/>
    <col min="6672" max="6672" width="22.28515625" customWidth="1"/>
    <col min="6684" max="6684" width="9.85546875" customWidth="1"/>
    <col min="6913" max="6913" width="4.5703125" customWidth="1"/>
    <col min="6914" max="6914" width="9.85546875" customWidth="1"/>
    <col min="6915" max="6915" width="19.7109375" customWidth="1"/>
    <col min="6916" max="6916" width="25.5703125" customWidth="1"/>
    <col min="6917" max="6917" width="26.7109375" customWidth="1"/>
    <col min="6918" max="6918" width="5.140625" customWidth="1"/>
    <col min="6919" max="6919" width="4.85546875" customWidth="1"/>
    <col min="6925" max="6925" width="37.140625" customWidth="1"/>
    <col min="6926" max="6926" width="12.140625" customWidth="1"/>
    <col min="6928" max="6928" width="22.28515625" customWidth="1"/>
    <col min="6940" max="6940" width="9.85546875" customWidth="1"/>
    <col min="7169" max="7169" width="4.5703125" customWidth="1"/>
    <col min="7170" max="7170" width="9.85546875" customWidth="1"/>
    <col min="7171" max="7171" width="19.7109375" customWidth="1"/>
    <col min="7172" max="7172" width="25.5703125" customWidth="1"/>
    <col min="7173" max="7173" width="26.7109375" customWidth="1"/>
    <col min="7174" max="7174" width="5.140625" customWidth="1"/>
    <col min="7175" max="7175" width="4.85546875" customWidth="1"/>
    <col min="7181" max="7181" width="37.140625" customWidth="1"/>
    <col min="7182" max="7182" width="12.140625" customWidth="1"/>
    <col min="7184" max="7184" width="22.28515625" customWidth="1"/>
    <col min="7196" max="7196" width="9.85546875" customWidth="1"/>
    <col min="7425" max="7425" width="4.5703125" customWidth="1"/>
    <col min="7426" max="7426" width="9.85546875" customWidth="1"/>
    <col min="7427" max="7427" width="19.7109375" customWidth="1"/>
    <col min="7428" max="7428" width="25.5703125" customWidth="1"/>
    <col min="7429" max="7429" width="26.7109375" customWidth="1"/>
    <col min="7430" max="7430" width="5.140625" customWidth="1"/>
    <col min="7431" max="7431" width="4.85546875" customWidth="1"/>
    <col min="7437" max="7437" width="37.140625" customWidth="1"/>
    <col min="7438" max="7438" width="12.140625" customWidth="1"/>
    <col min="7440" max="7440" width="22.28515625" customWidth="1"/>
    <col min="7452" max="7452" width="9.85546875" customWidth="1"/>
    <col min="7681" max="7681" width="4.5703125" customWidth="1"/>
    <col min="7682" max="7682" width="9.85546875" customWidth="1"/>
    <col min="7683" max="7683" width="19.7109375" customWidth="1"/>
    <col min="7684" max="7684" width="25.5703125" customWidth="1"/>
    <col min="7685" max="7685" width="26.7109375" customWidth="1"/>
    <col min="7686" max="7686" width="5.140625" customWidth="1"/>
    <col min="7687" max="7687" width="4.85546875" customWidth="1"/>
    <col min="7693" max="7693" width="37.140625" customWidth="1"/>
    <col min="7694" max="7694" width="12.140625" customWidth="1"/>
    <col min="7696" max="7696" width="22.28515625" customWidth="1"/>
    <col min="7708" max="7708" width="9.85546875" customWidth="1"/>
    <col min="7937" max="7937" width="4.5703125" customWidth="1"/>
    <col min="7938" max="7938" width="9.85546875" customWidth="1"/>
    <col min="7939" max="7939" width="19.7109375" customWidth="1"/>
    <col min="7940" max="7940" width="25.5703125" customWidth="1"/>
    <col min="7941" max="7941" width="26.7109375" customWidth="1"/>
    <col min="7942" max="7942" width="5.140625" customWidth="1"/>
    <col min="7943" max="7943" width="4.85546875" customWidth="1"/>
    <col min="7949" max="7949" width="37.140625" customWidth="1"/>
    <col min="7950" max="7950" width="12.140625" customWidth="1"/>
    <col min="7952" max="7952" width="22.28515625" customWidth="1"/>
    <col min="7964" max="7964" width="9.85546875" customWidth="1"/>
    <col min="8193" max="8193" width="4.5703125" customWidth="1"/>
    <col min="8194" max="8194" width="9.85546875" customWidth="1"/>
    <col min="8195" max="8195" width="19.7109375" customWidth="1"/>
    <col min="8196" max="8196" width="25.5703125" customWidth="1"/>
    <col min="8197" max="8197" width="26.7109375" customWidth="1"/>
    <col min="8198" max="8198" width="5.140625" customWidth="1"/>
    <col min="8199" max="8199" width="4.85546875" customWidth="1"/>
    <col min="8205" max="8205" width="37.140625" customWidth="1"/>
    <col min="8206" max="8206" width="12.140625" customWidth="1"/>
    <col min="8208" max="8208" width="22.28515625" customWidth="1"/>
    <col min="8220" max="8220" width="9.85546875" customWidth="1"/>
    <col min="8449" max="8449" width="4.5703125" customWidth="1"/>
    <col min="8450" max="8450" width="9.85546875" customWidth="1"/>
    <col min="8451" max="8451" width="19.7109375" customWidth="1"/>
    <col min="8452" max="8452" width="25.5703125" customWidth="1"/>
    <col min="8453" max="8453" width="26.7109375" customWidth="1"/>
    <col min="8454" max="8454" width="5.140625" customWidth="1"/>
    <col min="8455" max="8455" width="4.85546875" customWidth="1"/>
    <col min="8461" max="8461" width="37.140625" customWidth="1"/>
    <col min="8462" max="8462" width="12.140625" customWidth="1"/>
    <col min="8464" max="8464" width="22.28515625" customWidth="1"/>
    <col min="8476" max="8476" width="9.85546875" customWidth="1"/>
    <col min="8705" max="8705" width="4.5703125" customWidth="1"/>
    <col min="8706" max="8706" width="9.85546875" customWidth="1"/>
    <col min="8707" max="8707" width="19.7109375" customWidth="1"/>
    <col min="8708" max="8708" width="25.5703125" customWidth="1"/>
    <col min="8709" max="8709" width="26.7109375" customWidth="1"/>
    <col min="8710" max="8710" width="5.140625" customWidth="1"/>
    <col min="8711" max="8711" width="4.85546875" customWidth="1"/>
    <col min="8717" max="8717" width="37.140625" customWidth="1"/>
    <col min="8718" max="8718" width="12.140625" customWidth="1"/>
    <col min="8720" max="8720" width="22.28515625" customWidth="1"/>
    <col min="8732" max="8732" width="9.85546875" customWidth="1"/>
    <col min="8961" max="8961" width="4.5703125" customWidth="1"/>
    <col min="8962" max="8962" width="9.85546875" customWidth="1"/>
    <col min="8963" max="8963" width="19.7109375" customWidth="1"/>
    <col min="8964" max="8964" width="25.5703125" customWidth="1"/>
    <col min="8965" max="8965" width="26.7109375" customWidth="1"/>
    <col min="8966" max="8966" width="5.140625" customWidth="1"/>
    <col min="8967" max="8967" width="4.85546875" customWidth="1"/>
    <col min="8973" max="8973" width="37.140625" customWidth="1"/>
    <col min="8974" max="8974" width="12.140625" customWidth="1"/>
    <col min="8976" max="8976" width="22.28515625" customWidth="1"/>
    <col min="8988" max="8988" width="9.85546875" customWidth="1"/>
    <col min="9217" max="9217" width="4.5703125" customWidth="1"/>
    <col min="9218" max="9218" width="9.85546875" customWidth="1"/>
    <col min="9219" max="9219" width="19.7109375" customWidth="1"/>
    <col min="9220" max="9220" width="25.5703125" customWidth="1"/>
    <col min="9221" max="9221" width="26.7109375" customWidth="1"/>
    <col min="9222" max="9222" width="5.140625" customWidth="1"/>
    <col min="9223" max="9223" width="4.85546875" customWidth="1"/>
    <col min="9229" max="9229" width="37.140625" customWidth="1"/>
    <col min="9230" max="9230" width="12.140625" customWidth="1"/>
    <col min="9232" max="9232" width="22.28515625" customWidth="1"/>
    <col min="9244" max="9244" width="9.85546875" customWidth="1"/>
    <col min="9473" max="9473" width="4.5703125" customWidth="1"/>
    <col min="9474" max="9474" width="9.85546875" customWidth="1"/>
    <col min="9475" max="9475" width="19.7109375" customWidth="1"/>
    <col min="9476" max="9476" width="25.5703125" customWidth="1"/>
    <col min="9477" max="9477" width="26.7109375" customWidth="1"/>
    <col min="9478" max="9478" width="5.140625" customWidth="1"/>
    <col min="9479" max="9479" width="4.85546875" customWidth="1"/>
    <col min="9485" max="9485" width="37.140625" customWidth="1"/>
    <col min="9486" max="9486" width="12.140625" customWidth="1"/>
    <col min="9488" max="9488" width="22.28515625" customWidth="1"/>
    <col min="9500" max="9500" width="9.85546875" customWidth="1"/>
    <col min="9729" max="9729" width="4.5703125" customWidth="1"/>
    <col min="9730" max="9730" width="9.85546875" customWidth="1"/>
    <col min="9731" max="9731" width="19.7109375" customWidth="1"/>
    <col min="9732" max="9732" width="25.5703125" customWidth="1"/>
    <col min="9733" max="9733" width="26.7109375" customWidth="1"/>
    <col min="9734" max="9734" width="5.140625" customWidth="1"/>
    <col min="9735" max="9735" width="4.85546875" customWidth="1"/>
    <col min="9741" max="9741" width="37.140625" customWidth="1"/>
    <col min="9742" max="9742" width="12.140625" customWidth="1"/>
    <col min="9744" max="9744" width="22.28515625" customWidth="1"/>
    <col min="9756" max="9756" width="9.85546875" customWidth="1"/>
    <col min="9985" max="9985" width="4.5703125" customWidth="1"/>
    <col min="9986" max="9986" width="9.85546875" customWidth="1"/>
    <col min="9987" max="9987" width="19.7109375" customWidth="1"/>
    <col min="9988" max="9988" width="25.5703125" customWidth="1"/>
    <col min="9989" max="9989" width="26.7109375" customWidth="1"/>
    <col min="9990" max="9990" width="5.140625" customWidth="1"/>
    <col min="9991" max="9991" width="4.85546875" customWidth="1"/>
    <col min="9997" max="9997" width="37.140625" customWidth="1"/>
    <col min="9998" max="9998" width="12.140625" customWidth="1"/>
    <col min="10000" max="10000" width="22.28515625" customWidth="1"/>
    <col min="10012" max="10012" width="9.85546875" customWidth="1"/>
    <col min="10241" max="10241" width="4.5703125" customWidth="1"/>
    <col min="10242" max="10242" width="9.85546875" customWidth="1"/>
    <col min="10243" max="10243" width="19.7109375" customWidth="1"/>
    <col min="10244" max="10244" width="25.5703125" customWidth="1"/>
    <col min="10245" max="10245" width="26.7109375" customWidth="1"/>
    <col min="10246" max="10246" width="5.140625" customWidth="1"/>
    <col min="10247" max="10247" width="4.85546875" customWidth="1"/>
    <col min="10253" max="10253" width="37.140625" customWidth="1"/>
    <col min="10254" max="10254" width="12.140625" customWidth="1"/>
    <col min="10256" max="10256" width="22.28515625" customWidth="1"/>
    <col min="10268" max="10268" width="9.85546875" customWidth="1"/>
    <col min="10497" max="10497" width="4.5703125" customWidth="1"/>
    <col min="10498" max="10498" width="9.85546875" customWidth="1"/>
    <col min="10499" max="10499" width="19.7109375" customWidth="1"/>
    <col min="10500" max="10500" width="25.5703125" customWidth="1"/>
    <col min="10501" max="10501" width="26.7109375" customWidth="1"/>
    <col min="10502" max="10502" width="5.140625" customWidth="1"/>
    <col min="10503" max="10503" width="4.85546875" customWidth="1"/>
    <col min="10509" max="10509" width="37.140625" customWidth="1"/>
    <col min="10510" max="10510" width="12.140625" customWidth="1"/>
    <col min="10512" max="10512" width="22.28515625" customWidth="1"/>
    <col min="10524" max="10524" width="9.85546875" customWidth="1"/>
    <col min="10753" max="10753" width="4.5703125" customWidth="1"/>
    <col min="10754" max="10754" width="9.85546875" customWidth="1"/>
    <col min="10755" max="10755" width="19.7109375" customWidth="1"/>
    <col min="10756" max="10756" width="25.5703125" customWidth="1"/>
    <col min="10757" max="10757" width="26.7109375" customWidth="1"/>
    <col min="10758" max="10758" width="5.140625" customWidth="1"/>
    <col min="10759" max="10759" width="4.85546875" customWidth="1"/>
    <col min="10765" max="10765" width="37.140625" customWidth="1"/>
    <col min="10766" max="10766" width="12.140625" customWidth="1"/>
    <col min="10768" max="10768" width="22.28515625" customWidth="1"/>
    <col min="10780" max="10780" width="9.85546875" customWidth="1"/>
    <col min="11009" max="11009" width="4.5703125" customWidth="1"/>
    <col min="11010" max="11010" width="9.85546875" customWidth="1"/>
    <col min="11011" max="11011" width="19.7109375" customWidth="1"/>
    <col min="11012" max="11012" width="25.5703125" customWidth="1"/>
    <col min="11013" max="11013" width="26.7109375" customWidth="1"/>
    <col min="11014" max="11014" width="5.140625" customWidth="1"/>
    <col min="11015" max="11015" width="4.85546875" customWidth="1"/>
    <col min="11021" max="11021" width="37.140625" customWidth="1"/>
    <col min="11022" max="11022" width="12.140625" customWidth="1"/>
    <col min="11024" max="11024" width="22.28515625" customWidth="1"/>
    <col min="11036" max="11036" width="9.85546875" customWidth="1"/>
    <col min="11265" max="11265" width="4.5703125" customWidth="1"/>
    <col min="11266" max="11266" width="9.85546875" customWidth="1"/>
    <col min="11267" max="11267" width="19.7109375" customWidth="1"/>
    <col min="11268" max="11268" width="25.5703125" customWidth="1"/>
    <col min="11269" max="11269" width="26.7109375" customWidth="1"/>
    <col min="11270" max="11270" width="5.140625" customWidth="1"/>
    <col min="11271" max="11271" width="4.85546875" customWidth="1"/>
    <col min="11277" max="11277" width="37.140625" customWidth="1"/>
    <col min="11278" max="11278" width="12.140625" customWidth="1"/>
    <col min="11280" max="11280" width="22.28515625" customWidth="1"/>
    <col min="11292" max="11292" width="9.85546875" customWidth="1"/>
    <col min="11521" max="11521" width="4.5703125" customWidth="1"/>
    <col min="11522" max="11522" width="9.85546875" customWidth="1"/>
    <col min="11523" max="11523" width="19.7109375" customWidth="1"/>
    <col min="11524" max="11524" width="25.5703125" customWidth="1"/>
    <col min="11525" max="11525" width="26.7109375" customWidth="1"/>
    <col min="11526" max="11526" width="5.140625" customWidth="1"/>
    <col min="11527" max="11527" width="4.85546875" customWidth="1"/>
    <col min="11533" max="11533" width="37.140625" customWidth="1"/>
    <col min="11534" max="11534" width="12.140625" customWidth="1"/>
    <col min="11536" max="11536" width="22.28515625" customWidth="1"/>
    <col min="11548" max="11548" width="9.85546875" customWidth="1"/>
    <col min="11777" max="11777" width="4.5703125" customWidth="1"/>
    <col min="11778" max="11778" width="9.85546875" customWidth="1"/>
    <col min="11779" max="11779" width="19.7109375" customWidth="1"/>
    <col min="11780" max="11780" width="25.5703125" customWidth="1"/>
    <col min="11781" max="11781" width="26.7109375" customWidth="1"/>
    <col min="11782" max="11782" width="5.140625" customWidth="1"/>
    <col min="11783" max="11783" width="4.85546875" customWidth="1"/>
    <col min="11789" max="11789" width="37.140625" customWidth="1"/>
    <col min="11790" max="11790" width="12.140625" customWidth="1"/>
    <col min="11792" max="11792" width="22.28515625" customWidth="1"/>
    <col min="11804" max="11804" width="9.85546875" customWidth="1"/>
    <col min="12033" max="12033" width="4.5703125" customWidth="1"/>
    <col min="12034" max="12034" width="9.85546875" customWidth="1"/>
    <col min="12035" max="12035" width="19.7109375" customWidth="1"/>
    <col min="12036" max="12036" width="25.5703125" customWidth="1"/>
    <col min="12037" max="12037" width="26.7109375" customWidth="1"/>
    <col min="12038" max="12038" width="5.140625" customWidth="1"/>
    <col min="12039" max="12039" width="4.85546875" customWidth="1"/>
    <col min="12045" max="12045" width="37.140625" customWidth="1"/>
    <col min="12046" max="12046" width="12.140625" customWidth="1"/>
    <col min="12048" max="12048" width="22.28515625" customWidth="1"/>
    <col min="12060" max="12060" width="9.85546875" customWidth="1"/>
    <col min="12289" max="12289" width="4.5703125" customWidth="1"/>
    <col min="12290" max="12290" width="9.85546875" customWidth="1"/>
    <col min="12291" max="12291" width="19.7109375" customWidth="1"/>
    <col min="12292" max="12292" width="25.5703125" customWidth="1"/>
    <col min="12293" max="12293" width="26.7109375" customWidth="1"/>
    <col min="12294" max="12294" width="5.140625" customWidth="1"/>
    <col min="12295" max="12295" width="4.85546875" customWidth="1"/>
    <col min="12301" max="12301" width="37.140625" customWidth="1"/>
    <col min="12302" max="12302" width="12.140625" customWidth="1"/>
    <col min="12304" max="12304" width="22.28515625" customWidth="1"/>
    <col min="12316" max="12316" width="9.85546875" customWidth="1"/>
    <col min="12545" max="12545" width="4.5703125" customWidth="1"/>
    <col min="12546" max="12546" width="9.85546875" customWidth="1"/>
    <col min="12547" max="12547" width="19.7109375" customWidth="1"/>
    <col min="12548" max="12548" width="25.5703125" customWidth="1"/>
    <col min="12549" max="12549" width="26.7109375" customWidth="1"/>
    <col min="12550" max="12550" width="5.140625" customWidth="1"/>
    <col min="12551" max="12551" width="4.85546875" customWidth="1"/>
    <col min="12557" max="12557" width="37.140625" customWidth="1"/>
    <col min="12558" max="12558" width="12.140625" customWidth="1"/>
    <col min="12560" max="12560" width="22.28515625" customWidth="1"/>
    <col min="12572" max="12572" width="9.85546875" customWidth="1"/>
    <col min="12801" max="12801" width="4.5703125" customWidth="1"/>
    <col min="12802" max="12802" width="9.85546875" customWidth="1"/>
    <col min="12803" max="12803" width="19.7109375" customWidth="1"/>
    <col min="12804" max="12804" width="25.5703125" customWidth="1"/>
    <col min="12805" max="12805" width="26.7109375" customWidth="1"/>
    <col min="12806" max="12806" width="5.140625" customWidth="1"/>
    <col min="12807" max="12807" width="4.85546875" customWidth="1"/>
    <col min="12813" max="12813" width="37.140625" customWidth="1"/>
    <col min="12814" max="12814" width="12.140625" customWidth="1"/>
    <col min="12816" max="12816" width="22.28515625" customWidth="1"/>
    <col min="12828" max="12828" width="9.85546875" customWidth="1"/>
    <col min="13057" max="13057" width="4.5703125" customWidth="1"/>
    <col min="13058" max="13058" width="9.85546875" customWidth="1"/>
    <col min="13059" max="13059" width="19.7109375" customWidth="1"/>
    <col min="13060" max="13060" width="25.5703125" customWidth="1"/>
    <col min="13061" max="13061" width="26.7109375" customWidth="1"/>
    <col min="13062" max="13062" width="5.140625" customWidth="1"/>
    <col min="13063" max="13063" width="4.85546875" customWidth="1"/>
    <col min="13069" max="13069" width="37.140625" customWidth="1"/>
    <col min="13070" max="13070" width="12.140625" customWidth="1"/>
    <col min="13072" max="13072" width="22.28515625" customWidth="1"/>
    <col min="13084" max="13084" width="9.85546875" customWidth="1"/>
    <col min="13313" max="13313" width="4.5703125" customWidth="1"/>
    <col min="13314" max="13314" width="9.85546875" customWidth="1"/>
    <col min="13315" max="13315" width="19.7109375" customWidth="1"/>
    <col min="13316" max="13316" width="25.5703125" customWidth="1"/>
    <col min="13317" max="13317" width="26.7109375" customWidth="1"/>
    <col min="13318" max="13318" width="5.140625" customWidth="1"/>
    <col min="13319" max="13319" width="4.85546875" customWidth="1"/>
    <col min="13325" max="13325" width="37.140625" customWidth="1"/>
    <col min="13326" max="13326" width="12.140625" customWidth="1"/>
    <col min="13328" max="13328" width="22.28515625" customWidth="1"/>
    <col min="13340" max="13340" width="9.85546875" customWidth="1"/>
    <col min="13569" max="13569" width="4.5703125" customWidth="1"/>
    <col min="13570" max="13570" width="9.85546875" customWidth="1"/>
    <col min="13571" max="13571" width="19.7109375" customWidth="1"/>
    <col min="13572" max="13572" width="25.5703125" customWidth="1"/>
    <col min="13573" max="13573" width="26.7109375" customWidth="1"/>
    <col min="13574" max="13574" width="5.140625" customWidth="1"/>
    <col min="13575" max="13575" width="4.85546875" customWidth="1"/>
    <col min="13581" max="13581" width="37.140625" customWidth="1"/>
    <col min="13582" max="13582" width="12.140625" customWidth="1"/>
    <col min="13584" max="13584" width="22.28515625" customWidth="1"/>
    <col min="13596" max="13596" width="9.85546875" customWidth="1"/>
    <col min="13825" max="13825" width="4.5703125" customWidth="1"/>
    <col min="13826" max="13826" width="9.85546875" customWidth="1"/>
    <col min="13827" max="13827" width="19.7109375" customWidth="1"/>
    <col min="13828" max="13828" width="25.5703125" customWidth="1"/>
    <col min="13829" max="13829" width="26.7109375" customWidth="1"/>
    <col min="13830" max="13830" width="5.140625" customWidth="1"/>
    <col min="13831" max="13831" width="4.85546875" customWidth="1"/>
    <col min="13837" max="13837" width="37.140625" customWidth="1"/>
    <col min="13838" max="13838" width="12.140625" customWidth="1"/>
    <col min="13840" max="13840" width="22.28515625" customWidth="1"/>
    <col min="13852" max="13852" width="9.85546875" customWidth="1"/>
    <col min="14081" max="14081" width="4.5703125" customWidth="1"/>
    <col min="14082" max="14082" width="9.85546875" customWidth="1"/>
    <col min="14083" max="14083" width="19.7109375" customWidth="1"/>
    <col min="14084" max="14084" width="25.5703125" customWidth="1"/>
    <col min="14085" max="14085" width="26.7109375" customWidth="1"/>
    <col min="14086" max="14086" width="5.140625" customWidth="1"/>
    <col min="14087" max="14087" width="4.85546875" customWidth="1"/>
    <col min="14093" max="14093" width="37.140625" customWidth="1"/>
    <col min="14094" max="14094" width="12.140625" customWidth="1"/>
    <col min="14096" max="14096" width="22.28515625" customWidth="1"/>
    <col min="14108" max="14108" width="9.85546875" customWidth="1"/>
    <col min="14337" max="14337" width="4.5703125" customWidth="1"/>
    <col min="14338" max="14338" width="9.85546875" customWidth="1"/>
    <col min="14339" max="14339" width="19.7109375" customWidth="1"/>
    <col min="14340" max="14340" width="25.5703125" customWidth="1"/>
    <col min="14341" max="14341" width="26.7109375" customWidth="1"/>
    <col min="14342" max="14342" width="5.140625" customWidth="1"/>
    <col min="14343" max="14343" width="4.85546875" customWidth="1"/>
    <col min="14349" max="14349" width="37.140625" customWidth="1"/>
    <col min="14350" max="14350" width="12.140625" customWidth="1"/>
    <col min="14352" max="14352" width="22.28515625" customWidth="1"/>
    <col min="14364" max="14364" width="9.85546875" customWidth="1"/>
    <col min="14593" max="14593" width="4.5703125" customWidth="1"/>
    <col min="14594" max="14594" width="9.85546875" customWidth="1"/>
    <col min="14595" max="14595" width="19.7109375" customWidth="1"/>
    <col min="14596" max="14596" width="25.5703125" customWidth="1"/>
    <col min="14597" max="14597" width="26.7109375" customWidth="1"/>
    <col min="14598" max="14598" width="5.140625" customWidth="1"/>
    <col min="14599" max="14599" width="4.85546875" customWidth="1"/>
    <col min="14605" max="14605" width="37.140625" customWidth="1"/>
    <col min="14606" max="14606" width="12.140625" customWidth="1"/>
    <col min="14608" max="14608" width="22.28515625" customWidth="1"/>
    <col min="14620" max="14620" width="9.85546875" customWidth="1"/>
    <col min="14849" max="14849" width="4.5703125" customWidth="1"/>
    <col min="14850" max="14850" width="9.85546875" customWidth="1"/>
    <col min="14851" max="14851" width="19.7109375" customWidth="1"/>
    <col min="14852" max="14852" width="25.5703125" customWidth="1"/>
    <col min="14853" max="14853" width="26.7109375" customWidth="1"/>
    <col min="14854" max="14854" width="5.140625" customWidth="1"/>
    <col min="14855" max="14855" width="4.85546875" customWidth="1"/>
    <col min="14861" max="14861" width="37.140625" customWidth="1"/>
    <col min="14862" max="14862" width="12.140625" customWidth="1"/>
    <col min="14864" max="14864" width="22.28515625" customWidth="1"/>
    <col min="14876" max="14876" width="9.85546875" customWidth="1"/>
    <col min="15105" max="15105" width="4.5703125" customWidth="1"/>
    <col min="15106" max="15106" width="9.85546875" customWidth="1"/>
    <col min="15107" max="15107" width="19.7109375" customWidth="1"/>
    <col min="15108" max="15108" width="25.5703125" customWidth="1"/>
    <col min="15109" max="15109" width="26.7109375" customWidth="1"/>
    <col min="15110" max="15110" width="5.140625" customWidth="1"/>
    <col min="15111" max="15111" width="4.85546875" customWidth="1"/>
    <col min="15117" max="15117" width="37.140625" customWidth="1"/>
    <col min="15118" max="15118" width="12.140625" customWidth="1"/>
    <col min="15120" max="15120" width="22.28515625" customWidth="1"/>
    <col min="15132" max="15132" width="9.85546875" customWidth="1"/>
    <col min="15361" max="15361" width="4.5703125" customWidth="1"/>
    <col min="15362" max="15362" width="9.85546875" customWidth="1"/>
    <col min="15363" max="15363" width="19.7109375" customWidth="1"/>
    <col min="15364" max="15364" width="25.5703125" customWidth="1"/>
    <col min="15365" max="15365" width="26.7109375" customWidth="1"/>
    <col min="15366" max="15366" width="5.140625" customWidth="1"/>
    <col min="15367" max="15367" width="4.85546875" customWidth="1"/>
    <col min="15373" max="15373" width="37.140625" customWidth="1"/>
    <col min="15374" max="15374" width="12.140625" customWidth="1"/>
    <col min="15376" max="15376" width="22.28515625" customWidth="1"/>
    <col min="15388" max="15388" width="9.85546875" customWidth="1"/>
    <col min="15617" max="15617" width="4.5703125" customWidth="1"/>
    <col min="15618" max="15618" width="9.85546875" customWidth="1"/>
    <col min="15619" max="15619" width="19.7109375" customWidth="1"/>
    <col min="15620" max="15620" width="25.5703125" customWidth="1"/>
    <col min="15621" max="15621" width="26.7109375" customWidth="1"/>
    <col min="15622" max="15622" width="5.140625" customWidth="1"/>
    <col min="15623" max="15623" width="4.85546875" customWidth="1"/>
    <col min="15629" max="15629" width="37.140625" customWidth="1"/>
    <col min="15630" max="15630" width="12.140625" customWidth="1"/>
    <col min="15632" max="15632" width="22.28515625" customWidth="1"/>
    <col min="15644" max="15644" width="9.85546875" customWidth="1"/>
    <col min="15873" max="15873" width="4.5703125" customWidth="1"/>
    <col min="15874" max="15874" width="9.85546875" customWidth="1"/>
    <col min="15875" max="15875" width="19.7109375" customWidth="1"/>
    <col min="15876" max="15876" width="25.5703125" customWidth="1"/>
    <col min="15877" max="15877" width="26.7109375" customWidth="1"/>
    <col min="15878" max="15878" width="5.140625" customWidth="1"/>
    <col min="15879" max="15879" width="4.85546875" customWidth="1"/>
    <col min="15885" max="15885" width="37.140625" customWidth="1"/>
    <col min="15886" max="15886" width="12.140625" customWidth="1"/>
    <col min="15888" max="15888" width="22.28515625" customWidth="1"/>
    <col min="15900" max="15900" width="9.85546875" customWidth="1"/>
    <col min="16129" max="16129" width="4.5703125" customWidth="1"/>
    <col min="16130" max="16130" width="9.85546875" customWidth="1"/>
    <col min="16131" max="16131" width="19.7109375" customWidth="1"/>
    <col min="16132" max="16132" width="25.5703125" customWidth="1"/>
    <col min="16133" max="16133" width="26.7109375" customWidth="1"/>
    <col min="16134" max="16134" width="5.140625" customWidth="1"/>
    <col min="16135" max="16135" width="4.85546875" customWidth="1"/>
    <col min="16141" max="16141" width="37.140625" customWidth="1"/>
    <col min="16142" max="16142" width="12.140625" customWidth="1"/>
    <col min="16144" max="16144" width="22.28515625" customWidth="1"/>
    <col min="16156" max="16156" width="9.85546875" customWidth="1"/>
  </cols>
  <sheetData>
    <row r="1" spans="1:31" ht="4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P1" s="2" t="s">
        <v>1</v>
      </c>
      <c r="Q1" s="3" t="s">
        <v>2</v>
      </c>
      <c r="R1" s="4" t="s">
        <v>3</v>
      </c>
      <c r="S1" s="5" t="s">
        <v>4</v>
      </c>
      <c r="T1" s="6" t="s">
        <v>5</v>
      </c>
      <c r="U1" s="5" t="s">
        <v>6</v>
      </c>
      <c r="V1" s="5" t="s">
        <v>7</v>
      </c>
      <c r="W1" s="6" t="s">
        <v>8</v>
      </c>
      <c r="X1" s="6" t="s">
        <v>9</v>
      </c>
      <c r="Y1" s="7" t="s">
        <v>10</v>
      </c>
      <c r="Z1" s="8" t="s">
        <v>11</v>
      </c>
      <c r="AA1" s="9" t="s">
        <v>12</v>
      </c>
      <c r="AB1" s="5" t="s">
        <v>13</v>
      </c>
      <c r="AC1" s="10" t="s">
        <v>14</v>
      </c>
      <c r="AD1" s="10" t="s">
        <v>15</v>
      </c>
      <c r="AE1" s="10" t="s">
        <v>16</v>
      </c>
    </row>
    <row r="2" spans="1:31" ht="25.5">
      <c r="A2" s="11" t="s">
        <v>17</v>
      </c>
      <c r="B2" s="12" t="s">
        <v>18</v>
      </c>
      <c r="C2" s="12"/>
      <c r="D2" s="12" t="s">
        <v>19</v>
      </c>
      <c r="E2" s="12" t="s">
        <v>20</v>
      </c>
      <c r="F2" s="12" t="s">
        <v>21</v>
      </c>
      <c r="G2" s="12" t="s">
        <v>22</v>
      </c>
      <c r="H2" s="13" t="s">
        <v>23</v>
      </c>
      <c r="I2" s="13" t="s">
        <v>24</v>
      </c>
      <c r="J2" s="13" t="s">
        <v>25</v>
      </c>
      <c r="K2" s="14" t="s">
        <v>26</v>
      </c>
      <c r="L2" s="15" t="s">
        <v>27</v>
      </c>
      <c r="M2" s="16" t="s">
        <v>19</v>
      </c>
      <c r="N2" s="17" t="s">
        <v>28</v>
      </c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9"/>
    </row>
    <row r="3" spans="1:31" ht="16.5">
      <c r="A3" s="20"/>
      <c r="B3" s="20"/>
      <c r="C3" s="20"/>
      <c r="D3" s="20"/>
      <c r="E3" s="20"/>
      <c r="F3" s="20"/>
      <c r="G3" s="21"/>
      <c r="H3" s="22">
        <f>SUM(H4:H212)</f>
        <v>81863</v>
      </c>
      <c r="I3" s="22">
        <f>SUM(I4:I210)</f>
        <v>2300</v>
      </c>
      <c r="J3" s="22">
        <f>SUM(J4:J391)</f>
        <v>400</v>
      </c>
      <c r="K3" s="23"/>
      <c r="L3" s="23"/>
      <c r="M3" s="23"/>
      <c r="N3" s="23"/>
      <c r="P3" s="24">
        <v>45778</v>
      </c>
      <c r="Q3" s="25"/>
      <c r="R3" s="26">
        <v>8</v>
      </c>
      <c r="S3" s="26">
        <v>5</v>
      </c>
      <c r="T3" s="27">
        <f>S3/R3</f>
        <v>0.625</v>
      </c>
      <c r="U3" s="26">
        <v>3</v>
      </c>
      <c r="V3" s="26">
        <v>3</v>
      </c>
      <c r="W3" s="27">
        <v>1</v>
      </c>
      <c r="X3" s="27">
        <v>0.66</v>
      </c>
      <c r="Y3" s="26">
        <v>0</v>
      </c>
      <c r="Z3" s="26">
        <v>0</v>
      </c>
      <c r="AA3" s="27">
        <v>0</v>
      </c>
      <c r="AB3" s="26">
        <v>5</v>
      </c>
      <c r="AC3" s="26">
        <v>2</v>
      </c>
      <c r="AD3" s="26">
        <v>1</v>
      </c>
      <c r="AE3" s="28">
        <v>1430</v>
      </c>
    </row>
    <row r="4" spans="1:31" ht="15.6" customHeight="1">
      <c r="A4" s="29">
        <v>1</v>
      </c>
      <c r="B4" s="30">
        <v>45779</v>
      </c>
      <c r="C4" s="31" t="s">
        <v>29</v>
      </c>
      <c r="D4" s="26" t="s">
        <v>30</v>
      </c>
      <c r="E4" s="26" t="s">
        <v>31</v>
      </c>
      <c r="F4" s="26">
        <v>78</v>
      </c>
      <c r="G4" s="26" t="s">
        <v>32</v>
      </c>
      <c r="H4" s="28">
        <v>1100</v>
      </c>
      <c r="I4" s="28">
        <v>100</v>
      </c>
      <c r="J4" s="28"/>
      <c r="K4" s="28">
        <v>79</v>
      </c>
      <c r="L4" s="32">
        <v>6</v>
      </c>
      <c r="M4" s="33" t="s">
        <v>33</v>
      </c>
      <c r="N4" s="34">
        <v>3396109028</v>
      </c>
      <c r="P4" s="24">
        <v>45779</v>
      </c>
      <c r="Q4" s="25"/>
      <c r="R4" s="26">
        <v>4</v>
      </c>
      <c r="S4" s="26">
        <v>2</v>
      </c>
      <c r="T4" s="27">
        <f>S4/R4</f>
        <v>0.5</v>
      </c>
      <c r="U4" s="26">
        <v>8</v>
      </c>
      <c r="V4" s="26">
        <v>8</v>
      </c>
      <c r="W4" s="27">
        <v>1</v>
      </c>
      <c r="X4" s="27">
        <v>0.87</v>
      </c>
      <c r="Y4" s="26">
        <v>2</v>
      </c>
      <c r="Z4" s="26">
        <v>2</v>
      </c>
      <c r="AA4" s="27">
        <v>1</v>
      </c>
      <c r="AB4" s="26">
        <v>23</v>
      </c>
      <c r="AC4" s="26">
        <v>14</v>
      </c>
      <c r="AD4" s="26">
        <v>4</v>
      </c>
      <c r="AE4" s="28">
        <v>11300</v>
      </c>
    </row>
    <row r="5" spans="1:31" ht="16.5">
      <c r="A5" s="35">
        <v>2</v>
      </c>
      <c r="B5" s="30">
        <v>45779</v>
      </c>
      <c r="C5" s="34" t="s">
        <v>34</v>
      </c>
      <c r="D5" s="34" t="s">
        <v>35</v>
      </c>
      <c r="E5" s="34" t="s">
        <v>36</v>
      </c>
      <c r="F5" s="34">
        <v>53</v>
      </c>
      <c r="G5" s="34" t="s">
        <v>32</v>
      </c>
      <c r="H5" s="36">
        <v>230</v>
      </c>
      <c r="I5" s="36"/>
      <c r="J5" s="36"/>
      <c r="K5" s="36"/>
      <c r="L5" s="34">
        <v>1</v>
      </c>
      <c r="M5" s="37" t="s">
        <v>37</v>
      </c>
      <c r="N5" s="34">
        <v>3487733089</v>
      </c>
      <c r="P5" s="24">
        <v>45780</v>
      </c>
      <c r="Q5" s="38"/>
      <c r="R5" s="26" t="s">
        <v>38</v>
      </c>
      <c r="S5" s="26" t="s">
        <v>38</v>
      </c>
      <c r="T5" s="26" t="s">
        <v>38</v>
      </c>
      <c r="U5" s="26" t="s">
        <v>38</v>
      </c>
      <c r="V5" s="26" t="s">
        <v>38</v>
      </c>
      <c r="W5" s="26" t="s">
        <v>38</v>
      </c>
      <c r="X5" s="26" t="s">
        <v>38</v>
      </c>
      <c r="Y5" s="26" t="s">
        <v>38</v>
      </c>
      <c r="Z5" s="26" t="s">
        <v>38</v>
      </c>
      <c r="AA5" s="26" t="s">
        <v>38</v>
      </c>
      <c r="AB5" s="26" t="s">
        <v>38</v>
      </c>
      <c r="AC5" s="26" t="s">
        <v>38</v>
      </c>
      <c r="AD5" s="26" t="s">
        <v>38</v>
      </c>
      <c r="AE5" s="26" t="s">
        <v>38</v>
      </c>
    </row>
    <row r="6" spans="1:31" ht="16.5">
      <c r="A6" s="29">
        <v>3</v>
      </c>
      <c r="B6" s="30">
        <v>45780</v>
      </c>
      <c r="C6" s="34" t="s">
        <v>39</v>
      </c>
      <c r="D6" s="34" t="s">
        <v>40</v>
      </c>
      <c r="E6" s="34" t="s">
        <v>41</v>
      </c>
      <c r="F6" s="34">
        <v>22</v>
      </c>
      <c r="G6" s="34" t="s">
        <v>42</v>
      </c>
      <c r="H6" s="36">
        <v>948</v>
      </c>
      <c r="I6" s="36"/>
      <c r="J6" s="36"/>
      <c r="K6" s="36">
        <v>79</v>
      </c>
      <c r="L6" s="34">
        <v>12</v>
      </c>
      <c r="M6" s="34" t="s">
        <v>43</v>
      </c>
      <c r="N6" s="34">
        <v>3389967924</v>
      </c>
      <c r="P6" s="24">
        <v>45781</v>
      </c>
      <c r="Q6" s="38"/>
      <c r="R6" s="26" t="s">
        <v>38</v>
      </c>
      <c r="S6" s="26" t="s">
        <v>38</v>
      </c>
      <c r="T6" s="26" t="s">
        <v>38</v>
      </c>
      <c r="U6" s="26" t="s">
        <v>38</v>
      </c>
      <c r="V6" s="26" t="s">
        <v>38</v>
      </c>
      <c r="W6" s="26" t="s">
        <v>38</v>
      </c>
      <c r="X6" s="26" t="s">
        <v>38</v>
      </c>
      <c r="Y6" s="26" t="s">
        <v>38</v>
      </c>
      <c r="Z6" s="26" t="s">
        <v>38</v>
      </c>
      <c r="AA6" s="26" t="s">
        <v>38</v>
      </c>
      <c r="AB6" s="26" t="s">
        <v>38</v>
      </c>
      <c r="AC6" s="26" t="s">
        <v>38</v>
      </c>
      <c r="AD6" s="26" t="s">
        <v>38</v>
      </c>
      <c r="AE6" s="26" t="s">
        <v>38</v>
      </c>
    </row>
    <row r="7" spans="1:31" ht="16.5">
      <c r="A7" s="35">
        <v>4</v>
      </c>
      <c r="B7" s="30">
        <v>45780</v>
      </c>
      <c r="C7" s="34" t="s">
        <v>39</v>
      </c>
      <c r="D7" s="34" t="s">
        <v>40</v>
      </c>
      <c r="E7" s="34" t="s">
        <v>44</v>
      </c>
      <c r="F7" s="34">
        <v>22</v>
      </c>
      <c r="G7" s="34" t="s">
        <v>32</v>
      </c>
      <c r="H7" s="36">
        <v>948</v>
      </c>
      <c r="I7" s="36"/>
      <c r="J7" s="36"/>
      <c r="K7" s="36">
        <v>79</v>
      </c>
      <c r="L7" s="34">
        <v>12</v>
      </c>
      <c r="M7" s="34" t="s">
        <v>45</v>
      </c>
      <c r="N7" s="34">
        <v>3203407447</v>
      </c>
      <c r="P7" s="24">
        <v>45782</v>
      </c>
      <c r="Q7" s="38"/>
      <c r="R7" s="26">
        <v>11</v>
      </c>
      <c r="S7" s="26">
        <v>7</v>
      </c>
      <c r="T7" s="39">
        <f t="shared" ref="T7:T12" si="0">S7/R7</f>
        <v>0.63636363636363635</v>
      </c>
      <c r="U7" s="26">
        <v>4</v>
      </c>
      <c r="V7" s="26">
        <v>4</v>
      </c>
      <c r="W7" s="39">
        <v>1</v>
      </c>
      <c r="X7" s="39">
        <v>1</v>
      </c>
      <c r="Y7" s="26">
        <v>1</v>
      </c>
      <c r="Z7" s="26">
        <v>0</v>
      </c>
      <c r="AA7" s="26">
        <v>0</v>
      </c>
      <c r="AB7" s="26">
        <v>7</v>
      </c>
      <c r="AC7" s="26">
        <v>4</v>
      </c>
      <c r="AD7" s="26">
        <v>0</v>
      </c>
      <c r="AE7" s="40">
        <v>4038</v>
      </c>
    </row>
    <row r="8" spans="1:31" ht="16.5">
      <c r="A8" s="29">
        <v>5</v>
      </c>
      <c r="B8" s="30">
        <v>45780</v>
      </c>
      <c r="C8" s="34" t="s">
        <v>29</v>
      </c>
      <c r="D8" s="34" t="s">
        <v>30</v>
      </c>
      <c r="E8" s="34" t="s">
        <v>46</v>
      </c>
      <c r="F8" s="34">
        <v>71</v>
      </c>
      <c r="G8" s="34" t="s">
        <v>32</v>
      </c>
      <c r="H8" s="36">
        <v>1000</v>
      </c>
      <c r="I8" s="36"/>
      <c r="J8" s="36"/>
      <c r="K8" s="36"/>
      <c r="L8" s="34">
        <v>4</v>
      </c>
      <c r="M8" s="37" t="s">
        <v>47</v>
      </c>
      <c r="N8" s="34">
        <v>3382709503</v>
      </c>
      <c r="P8" s="24">
        <v>45783</v>
      </c>
      <c r="Q8" s="38"/>
      <c r="R8" s="26">
        <v>15</v>
      </c>
      <c r="S8" s="26">
        <v>9</v>
      </c>
      <c r="T8" s="39">
        <f t="shared" si="0"/>
        <v>0.6</v>
      </c>
      <c r="U8" s="26">
        <v>3</v>
      </c>
      <c r="V8" s="26">
        <v>2</v>
      </c>
      <c r="W8" s="39">
        <v>1</v>
      </c>
      <c r="X8" s="39">
        <v>1</v>
      </c>
      <c r="Y8" s="26">
        <v>0</v>
      </c>
      <c r="Z8" s="26">
        <v>0</v>
      </c>
      <c r="AA8" s="26">
        <v>0</v>
      </c>
      <c r="AB8" s="26">
        <v>3</v>
      </c>
      <c r="AC8" s="26">
        <v>2</v>
      </c>
      <c r="AD8" s="26">
        <v>0</v>
      </c>
      <c r="AE8" s="40">
        <v>1228</v>
      </c>
    </row>
    <row r="9" spans="1:31" ht="16.5">
      <c r="A9" s="29">
        <v>6</v>
      </c>
      <c r="B9" s="30">
        <v>45780</v>
      </c>
      <c r="C9" s="34" t="s">
        <v>29</v>
      </c>
      <c r="D9" s="34" t="s">
        <v>30</v>
      </c>
      <c r="E9" s="34" t="s">
        <v>48</v>
      </c>
      <c r="F9" s="34">
        <v>74</v>
      </c>
      <c r="G9" s="34" t="s">
        <v>42</v>
      </c>
      <c r="H9" s="36">
        <v>1000</v>
      </c>
      <c r="I9" s="36"/>
      <c r="J9" s="36"/>
      <c r="K9" s="36"/>
      <c r="L9" s="34">
        <v>4</v>
      </c>
      <c r="M9" s="37" t="s">
        <v>49</v>
      </c>
      <c r="N9" s="34">
        <v>3204323834</v>
      </c>
      <c r="P9" s="24">
        <v>45784</v>
      </c>
      <c r="Q9" s="38"/>
      <c r="R9" s="26">
        <v>12</v>
      </c>
      <c r="S9" s="26">
        <v>8</v>
      </c>
      <c r="T9" s="39">
        <f t="shared" si="0"/>
        <v>0.66666666666666663</v>
      </c>
      <c r="U9" s="26">
        <v>2</v>
      </c>
      <c r="V9" s="26">
        <v>2</v>
      </c>
      <c r="W9" s="39">
        <v>1</v>
      </c>
      <c r="X9" s="39">
        <v>0.5</v>
      </c>
      <c r="Y9" s="26">
        <v>0</v>
      </c>
      <c r="Z9" s="26">
        <v>0</v>
      </c>
      <c r="AA9" s="39">
        <v>0</v>
      </c>
      <c r="AB9" s="26">
        <v>2</v>
      </c>
      <c r="AC9" s="26">
        <v>1</v>
      </c>
      <c r="AD9" s="26">
        <v>0</v>
      </c>
      <c r="AE9" s="40">
        <v>230</v>
      </c>
    </row>
    <row r="10" spans="1:31" ht="16.5">
      <c r="A10" s="35">
        <v>7</v>
      </c>
      <c r="B10" s="30">
        <v>45780</v>
      </c>
      <c r="C10" s="34" t="s">
        <v>10</v>
      </c>
      <c r="D10" s="34" t="s">
        <v>50</v>
      </c>
      <c r="E10" s="34" t="s">
        <v>51</v>
      </c>
      <c r="F10" s="34">
        <v>55</v>
      </c>
      <c r="G10" s="34" t="s">
        <v>42</v>
      </c>
      <c r="H10" s="36">
        <v>1188</v>
      </c>
      <c r="I10" s="36">
        <v>100</v>
      </c>
      <c r="J10" s="36"/>
      <c r="K10" s="36"/>
      <c r="L10" s="34">
        <v>12</v>
      </c>
      <c r="M10" s="34" t="s">
        <v>52</v>
      </c>
      <c r="N10" s="34">
        <v>3272903435</v>
      </c>
      <c r="P10" s="24">
        <v>45785</v>
      </c>
      <c r="Q10" s="38"/>
      <c r="R10" s="26">
        <v>7</v>
      </c>
      <c r="S10" s="26">
        <v>4</v>
      </c>
      <c r="T10" s="39">
        <f t="shared" si="0"/>
        <v>0.5714285714285714</v>
      </c>
      <c r="U10" s="26">
        <v>4</v>
      </c>
      <c r="V10" s="26">
        <v>3</v>
      </c>
      <c r="W10" s="39">
        <f>V10/U10</f>
        <v>0.75</v>
      </c>
      <c r="X10" s="39">
        <v>0.66</v>
      </c>
      <c r="Y10" s="26">
        <v>0</v>
      </c>
      <c r="Z10" s="26">
        <v>0</v>
      </c>
      <c r="AA10" s="39">
        <v>0</v>
      </c>
      <c r="AB10" s="26">
        <v>5</v>
      </c>
      <c r="AC10" s="26">
        <v>2</v>
      </c>
      <c r="AD10" s="26">
        <v>0</v>
      </c>
      <c r="AE10" s="40">
        <v>2408</v>
      </c>
    </row>
    <row r="11" spans="1:31" ht="16.5">
      <c r="A11" s="29">
        <v>8</v>
      </c>
      <c r="B11" s="30">
        <v>45780</v>
      </c>
      <c r="C11" s="34" t="s">
        <v>10</v>
      </c>
      <c r="D11" s="34" t="s">
        <v>53</v>
      </c>
      <c r="E11" s="34" t="s">
        <v>54</v>
      </c>
      <c r="F11" s="34">
        <v>55</v>
      </c>
      <c r="G11" s="34" t="s">
        <v>32</v>
      </c>
      <c r="H11" s="36">
        <v>1188</v>
      </c>
      <c r="I11" s="36">
        <v>100</v>
      </c>
      <c r="J11" s="36"/>
      <c r="K11" s="36"/>
      <c r="L11" s="34">
        <v>12</v>
      </c>
      <c r="M11" s="34" t="s">
        <v>55</v>
      </c>
      <c r="N11" s="34">
        <v>3480051889</v>
      </c>
      <c r="P11" s="24">
        <v>45786</v>
      </c>
      <c r="Q11" s="38"/>
      <c r="R11" s="26">
        <v>5</v>
      </c>
      <c r="S11" s="26">
        <v>3</v>
      </c>
      <c r="T11" s="39">
        <f t="shared" si="0"/>
        <v>0.6</v>
      </c>
      <c r="U11" s="26">
        <v>1</v>
      </c>
      <c r="V11" s="26">
        <v>1</v>
      </c>
      <c r="W11" s="39">
        <v>1</v>
      </c>
      <c r="X11" s="39">
        <v>1</v>
      </c>
      <c r="Y11" s="26">
        <v>0</v>
      </c>
      <c r="Z11" s="26">
        <v>0</v>
      </c>
      <c r="AA11" s="39">
        <v>0</v>
      </c>
      <c r="AB11" s="26">
        <v>0</v>
      </c>
      <c r="AC11" s="26">
        <v>1</v>
      </c>
      <c r="AD11" s="26">
        <v>0</v>
      </c>
      <c r="AE11" s="40">
        <v>460</v>
      </c>
    </row>
    <row r="12" spans="1:31" ht="16.5">
      <c r="A12" s="35">
        <v>9</v>
      </c>
      <c r="B12" s="30">
        <v>45780</v>
      </c>
      <c r="C12" s="34" t="s">
        <v>34</v>
      </c>
      <c r="D12" s="34" t="s">
        <v>40</v>
      </c>
      <c r="E12" s="34" t="s">
        <v>56</v>
      </c>
      <c r="F12" s="34">
        <v>34</v>
      </c>
      <c r="G12" s="34" t="s">
        <v>32</v>
      </c>
      <c r="H12" s="36">
        <v>1138</v>
      </c>
      <c r="I12" s="36">
        <v>100</v>
      </c>
      <c r="J12" s="36">
        <v>50</v>
      </c>
      <c r="K12" s="36"/>
      <c r="L12" s="34">
        <v>12</v>
      </c>
      <c r="M12" s="34" t="s">
        <v>57</v>
      </c>
      <c r="N12" s="34">
        <v>3427667995</v>
      </c>
      <c r="P12" s="24">
        <v>45787</v>
      </c>
      <c r="Q12" s="38"/>
      <c r="R12" s="34">
        <v>2</v>
      </c>
      <c r="S12" s="34">
        <v>2</v>
      </c>
      <c r="T12" s="39">
        <f t="shared" si="0"/>
        <v>1</v>
      </c>
      <c r="U12" s="34">
        <v>7</v>
      </c>
      <c r="V12" s="34">
        <v>6</v>
      </c>
      <c r="W12" s="41">
        <v>1</v>
      </c>
      <c r="X12" s="41">
        <v>0.83</v>
      </c>
      <c r="Y12" s="34">
        <v>0</v>
      </c>
      <c r="Z12" s="34">
        <v>0</v>
      </c>
      <c r="AA12" s="41">
        <v>0</v>
      </c>
      <c r="AB12" s="34">
        <v>12</v>
      </c>
      <c r="AC12" s="34">
        <v>5</v>
      </c>
      <c r="AD12" s="34">
        <v>4</v>
      </c>
      <c r="AE12" s="42">
        <v>5632</v>
      </c>
    </row>
    <row r="13" spans="1:31" ht="16.5">
      <c r="A13" s="29">
        <v>10</v>
      </c>
      <c r="B13" s="30">
        <v>45780</v>
      </c>
      <c r="C13" s="34" t="s">
        <v>29</v>
      </c>
      <c r="D13" s="34" t="s">
        <v>58</v>
      </c>
      <c r="E13" s="34" t="s">
        <v>59</v>
      </c>
      <c r="F13" s="34">
        <v>38</v>
      </c>
      <c r="G13" s="34" t="s">
        <v>32</v>
      </c>
      <c r="H13" s="36">
        <v>1695</v>
      </c>
      <c r="I13" s="36">
        <v>100</v>
      </c>
      <c r="J13" s="36"/>
      <c r="K13" s="36">
        <v>79</v>
      </c>
      <c r="L13" s="34">
        <v>12</v>
      </c>
      <c r="M13" s="34" t="s">
        <v>60</v>
      </c>
      <c r="N13" s="34">
        <v>3289295804</v>
      </c>
      <c r="P13" s="24">
        <v>45788</v>
      </c>
      <c r="Q13" s="38"/>
      <c r="R13" s="34" t="s">
        <v>38</v>
      </c>
      <c r="S13" s="34" t="s">
        <v>38</v>
      </c>
      <c r="T13" s="34" t="s">
        <v>38</v>
      </c>
      <c r="U13" s="34" t="s">
        <v>38</v>
      </c>
      <c r="V13" s="34" t="s">
        <v>38</v>
      </c>
      <c r="W13" s="34" t="s">
        <v>38</v>
      </c>
      <c r="X13" s="34" t="s">
        <v>38</v>
      </c>
      <c r="Y13" s="34" t="s">
        <v>38</v>
      </c>
      <c r="Z13" s="34" t="s">
        <v>38</v>
      </c>
      <c r="AA13" s="34" t="s">
        <v>38</v>
      </c>
      <c r="AB13" s="34" t="s">
        <v>38</v>
      </c>
      <c r="AC13" s="34" t="s">
        <v>38</v>
      </c>
      <c r="AD13" s="34" t="s">
        <v>38</v>
      </c>
      <c r="AE13" s="34" t="s">
        <v>38</v>
      </c>
    </row>
    <row r="14" spans="1:31" ht="16.5">
      <c r="A14" s="29">
        <v>11</v>
      </c>
      <c r="B14" s="30">
        <v>45780</v>
      </c>
      <c r="C14" s="34" t="s">
        <v>29</v>
      </c>
      <c r="D14" s="34" t="s">
        <v>58</v>
      </c>
      <c r="E14" s="34" t="s">
        <v>61</v>
      </c>
      <c r="F14" s="34">
        <v>37</v>
      </c>
      <c r="G14" s="34" t="s">
        <v>42</v>
      </c>
      <c r="H14" s="36">
        <v>1695</v>
      </c>
      <c r="I14" s="36">
        <v>100</v>
      </c>
      <c r="J14" s="36"/>
      <c r="K14" s="36">
        <v>79</v>
      </c>
      <c r="L14" s="34">
        <v>12</v>
      </c>
      <c r="M14" s="34" t="s">
        <v>62</v>
      </c>
      <c r="N14" s="34">
        <v>3471250695</v>
      </c>
      <c r="P14" s="24">
        <v>45789</v>
      </c>
      <c r="Q14" s="38"/>
      <c r="R14" s="34">
        <v>8</v>
      </c>
      <c r="S14" s="34">
        <v>5</v>
      </c>
      <c r="T14" s="41">
        <f>S14/R14</f>
        <v>0.625</v>
      </c>
      <c r="U14" s="34">
        <v>8</v>
      </c>
      <c r="V14" s="34">
        <v>6</v>
      </c>
      <c r="W14" s="41">
        <f>V14/U14</f>
        <v>0.75</v>
      </c>
      <c r="X14" s="41">
        <v>0.83</v>
      </c>
      <c r="Y14" s="34">
        <v>1</v>
      </c>
      <c r="Z14" s="34">
        <v>0</v>
      </c>
      <c r="AA14" s="41">
        <v>0</v>
      </c>
      <c r="AB14" s="34">
        <v>3</v>
      </c>
      <c r="AC14" s="34">
        <v>5</v>
      </c>
      <c r="AD14" s="34">
        <v>0</v>
      </c>
      <c r="AE14" s="42">
        <v>1678</v>
      </c>
    </row>
    <row r="15" spans="1:31" ht="16.5">
      <c r="A15" s="35">
        <v>12</v>
      </c>
      <c r="B15" s="43">
        <v>45782</v>
      </c>
      <c r="C15" s="34" t="s">
        <v>29</v>
      </c>
      <c r="D15" s="34" t="s">
        <v>63</v>
      </c>
      <c r="E15" s="34" t="s">
        <v>64</v>
      </c>
      <c r="F15" s="34">
        <v>63</v>
      </c>
      <c r="G15" s="34" t="s">
        <v>42</v>
      </c>
      <c r="H15" s="36">
        <v>1188</v>
      </c>
      <c r="I15" s="36"/>
      <c r="J15" s="36"/>
      <c r="K15" s="36"/>
      <c r="L15" s="34">
        <v>12</v>
      </c>
      <c r="M15" s="34" t="s">
        <v>65</v>
      </c>
      <c r="N15" s="34">
        <v>3358420566</v>
      </c>
      <c r="P15" s="24">
        <v>45790</v>
      </c>
      <c r="Q15" s="38"/>
      <c r="R15" s="34">
        <v>10</v>
      </c>
      <c r="S15" s="34">
        <v>4</v>
      </c>
      <c r="T15" s="41">
        <f>S15/R15</f>
        <v>0.4</v>
      </c>
      <c r="U15" s="34">
        <v>3</v>
      </c>
      <c r="V15" s="34">
        <v>2</v>
      </c>
      <c r="W15" s="41">
        <f>V15/U15</f>
        <v>0.66666666666666663</v>
      </c>
      <c r="X15" s="41">
        <v>1</v>
      </c>
      <c r="Y15" s="34">
        <v>1</v>
      </c>
      <c r="Z15" s="34">
        <v>1</v>
      </c>
      <c r="AA15" s="44">
        <v>1</v>
      </c>
      <c r="AB15" s="34">
        <v>6</v>
      </c>
      <c r="AC15" s="34">
        <v>3</v>
      </c>
      <c r="AD15" s="34">
        <v>1</v>
      </c>
      <c r="AE15" s="42">
        <v>2260</v>
      </c>
    </row>
    <row r="16" spans="1:31" ht="16.5">
      <c r="A16" s="29">
        <v>13</v>
      </c>
      <c r="B16" s="43">
        <v>45782</v>
      </c>
      <c r="C16" s="34" t="s">
        <v>39</v>
      </c>
      <c r="D16" s="34" t="s">
        <v>66</v>
      </c>
      <c r="E16" s="34" t="s">
        <v>67</v>
      </c>
      <c r="F16" s="34">
        <v>47</v>
      </c>
      <c r="G16" s="34" t="s">
        <v>32</v>
      </c>
      <c r="H16" s="36">
        <v>1050</v>
      </c>
      <c r="I16" s="36"/>
      <c r="J16" s="36">
        <v>50</v>
      </c>
      <c r="K16" s="36"/>
      <c r="L16" s="34">
        <v>6</v>
      </c>
      <c r="M16" s="37" t="s">
        <v>33</v>
      </c>
      <c r="N16" s="34">
        <v>3496157025</v>
      </c>
      <c r="P16" s="24">
        <v>45791</v>
      </c>
      <c r="Q16" s="38"/>
      <c r="R16" s="34">
        <v>9</v>
      </c>
      <c r="S16" s="34">
        <v>5</v>
      </c>
      <c r="T16" s="41">
        <f>S16/R16</f>
        <v>0.55555555555555558</v>
      </c>
      <c r="U16" s="34">
        <v>2</v>
      </c>
      <c r="V16" s="34">
        <v>2</v>
      </c>
      <c r="W16" s="41">
        <v>1</v>
      </c>
      <c r="X16" s="41">
        <v>1</v>
      </c>
      <c r="Y16" s="34">
        <v>0</v>
      </c>
      <c r="Z16" s="34">
        <v>0</v>
      </c>
      <c r="AA16" s="41">
        <v>0</v>
      </c>
      <c r="AB16" s="34">
        <v>4</v>
      </c>
      <c r="AC16" s="34">
        <v>2</v>
      </c>
      <c r="AD16" s="34">
        <v>2</v>
      </c>
      <c r="AE16" s="42">
        <v>3992</v>
      </c>
    </row>
    <row r="17" spans="1:31" ht="16.5">
      <c r="A17" s="35">
        <v>14</v>
      </c>
      <c r="B17" s="43">
        <v>45782</v>
      </c>
      <c r="C17" s="34" t="s">
        <v>68</v>
      </c>
      <c r="D17" s="34" t="s">
        <v>58</v>
      </c>
      <c r="E17" s="34" t="s">
        <v>69</v>
      </c>
      <c r="F17" s="34">
        <v>54</v>
      </c>
      <c r="G17" s="34" t="s">
        <v>32</v>
      </c>
      <c r="H17" s="36">
        <v>1188</v>
      </c>
      <c r="I17" s="36"/>
      <c r="J17" s="36">
        <v>50</v>
      </c>
      <c r="K17" s="36"/>
      <c r="L17" s="34">
        <v>12</v>
      </c>
      <c r="M17" s="34" t="s">
        <v>70</v>
      </c>
      <c r="N17" s="34">
        <v>3396757125</v>
      </c>
      <c r="P17" s="24">
        <v>45792</v>
      </c>
      <c r="Q17" s="38"/>
      <c r="R17" s="34">
        <v>11</v>
      </c>
      <c r="S17" s="34">
        <v>4</v>
      </c>
      <c r="T17" s="41">
        <f>S17/R17</f>
        <v>0.36363636363636365</v>
      </c>
      <c r="U17" s="34">
        <v>3</v>
      </c>
      <c r="V17" s="34">
        <v>2</v>
      </c>
      <c r="W17" s="41">
        <f>V17/U17</f>
        <v>0.66666666666666663</v>
      </c>
      <c r="X17" s="41">
        <v>1</v>
      </c>
      <c r="Y17" s="34">
        <v>0</v>
      </c>
      <c r="Z17" s="34">
        <v>0</v>
      </c>
      <c r="AA17" s="41">
        <v>0</v>
      </c>
      <c r="AB17" s="34">
        <v>0</v>
      </c>
      <c r="AC17" s="34">
        <v>2</v>
      </c>
      <c r="AD17" s="34">
        <v>0</v>
      </c>
      <c r="AE17" s="42">
        <v>850</v>
      </c>
    </row>
    <row r="18" spans="1:31" ht="16.5">
      <c r="A18" s="29">
        <v>15</v>
      </c>
      <c r="B18" s="43">
        <v>45782</v>
      </c>
      <c r="C18" s="34" t="s">
        <v>71</v>
      </c>
      <c r="D18" s="34" t="s">
        <v>72</v>
      </c>
      <c r="E18" s="34" t="s">
        <v>73</v>
      </c>
      <c r="F18" s="34">
        <v>59</v>
      </c>
      <c r="G18" s="34" t="s">
        <v>32</v>
      </c>
      <c r="H18" s="36">
        <v>612</v>
      </c>
      <c r="I18" s="36"/>
      <c r="J18" s="36"/>
      <c r="K18" s="36"/>
      <c r="L18" s="34">
        <v>12</v>
      </c>
      <c r="M18" s="37" t="s">
        <v>74</v>
      </c>
      <c r="N18" s="34">
        <v>3314984346</v>
      </c>
      <c r="P18" s="24">
        <v>45793</v>
      </c>
      <c r="Q18" s="38"/>
      <c r="R18" s="34">
        <v>6</v>
      </c>
      <c r="S18" s="34">
        <v>2</v>
      </c>
      <c r="T18" s="41">
        <f>S18/R18</f>
        <v>0.33333333333333331</v>
      </c>
      <c r="U18" s="34">
        <v>5</v>
      </c>
      <c r="V18" s="34">
        <v>4</v>
      </c>
      <c r="W18" s="41">
        <f>V18/U18</f>
        <v>0.8</v>
      </c>
      <c r="X18" s="41">
        <v>0.5</v>
      </c>
      <c r="Y18" s="34">
        <v>0</v>
      </c>
      <c r="Z18" s="34">
        <v>0</v>
      </c>
      <c r="AA18" s="41">
        <v>0</v>
      </c>
      <c r="AB18" s="34">
        <v>5</v>
      </c>
      <c r="AC18" s="34">
        <v>2</v>
      </c>
      <c r="AD18" s="34">
        <v>1</v>
      </c>
      <c r="AE18" s="42">
        <v>1969</v>
      </c>
    </row>
    <row r="19" spans="1:31" ht="16.5">
      <c r="A19" s="29">
        <v>16</v>
      </c>
      <c r="B19" s="43">
        <v>45783</v>
      </c>
      <c r="C19" s="34" t="s">
        <v>71</v>
      </c>
      <c r="D19" s="34" t="s">
        <v>72</v>
      </c>
      <c r="E19" s="34" t="s">
        <v>75</v>
      </c>
      <c r="F19" s="34">
        <v>55</v>
      </c>
      <c r="G19" s="34" t="s">
        <v>42</v>
      </c>
      <c r="H19" s="36">
        <v>612</v>
      </c>
      <c r="I19" s="36"/>
      <c r="J19" s="36"/>
      <c r="K19" s="36"/>
      <c r="L19" s="34">
        <v>12</v>
      </c>
      <c r="M19" s="37" t="s">
        <v>74</v>
      </c>
      <c r="N19" s="34">
        <v>3498533908</v>
      </c>
      <c r="P19" s="24">
        <v>45794</v>
      </c>
      <c r="Q19" s="38"/>
      <c r="R19" s="34" t="s">
        <v>38</v>
      </c>
      <c r="S19" s="34" t="s">
        <v>38</v>
      </c>
      <c r="T19" s="34" t="s">
        <v>38</v>
      </c>
      <c r="U19" s="34" t="s">
        <v>38</v>
      </c>
      <c r="V19" s="34" t="s">
        <v>38</v>
      </c>
      <c r="W19" s="34" t="s">
        <v>38</v>
      </c>
      <c r="X19" s="34" t="s">
        <v>38</v>
      </c>
      <c r="Y19" s="34" t="s">
        <v>38</v>
      </c>
      <c r="Z19" s="34" t="s">
        <v>38</v>
      </c>
      <c r="AA19" s="34" t="s">
        <v>38</v>
      </c>
      <c r="AB19" s="34" t="s">
        <v>38</v>
      </c>
      <c r="AC19" s="34" t="s">
        <v>38</v>
      </c>
      <c r="AD19" s="34" t="s">
        <v>38</v>
      </c>
      <c r="AE19" s="34" t="s">
        <v>38</v>
      </c>
    </row>
    <row r="20" spans="1:31" ht="16.5">
      <c r="A20" s="35">
        <v>17</v>
      </c>
      <c r="B20" s="43">
        <v>45783</v>
      </c>
      <c r="C20" s="34" t="s">
        <v>71</v>
      </c>
      <c r="D20" s="34" t="s">
        <v>72</v>
      </c>
      <c r="E20" s="34" t="s">
        <v>76</v>
      </c>
      <c r="F20" s="34">
        <v>52</v>
      </c>
      <c r="G20" s="34" t="s">
        <v>32</v>
      </c>
      <c r="H20" s="36">
        <v>616</v>
      </c>
      <c r="I20" s="36"/>
      <c r="J20" s="36"/>
      <c r="K20" s="36"/>
      <c r="L20" s="34">
        <v>12</v>
      </c>
      <c r="M20" s="37" t="s">
        <v>74</v>
      </c>
      <c r="N20" s="34">
        <v>3482687921</v>
      </c>
      <c r="P20" s="24">
        <v>45795</v>
      </c>
      <c r="Q20" s="38"/>
      <c r="R20" s="34" t="s">
        <v>38</v>
      </c>
      <c r="S20" s="34" t="s">
        <v>38</v>
      </c>
      <c r="T20" s="34" t="s">
        <v>38</v>
      </c>
      <c r="U20" s="34" t="s">
        <v>38</v>
      </c>
      <c r="V20" s="34" t="s">
        <v>38</v>
      </c>
      <c r="W20" s="34" t="s">
        <v>38</v>
      </c>
      <c r="X20" s="34" t="s">
        <v>38</v>
      </c>
      <c r="Y20" s="34" t="s">
        <v>38</v>
      </c>
      <c r="Z20" s="34" t="s">
        <v>38</v>
      </c>
      <c r="AA20" s="34" t="s">
        <v>38</v>
      </c>
      <c r="AB20" s="34" t="s">
        <v>38</v>
      </c>
      <c r="AC20" s="34" t="s">
        <v>38</v>
      </c>
      <c r="AD20" s="34" t="s">
        <v>38</v>
      </c>
      <c r="AE20" s="34" t="s">
        <v>38</v>
      </c>
    </row>
    <row r="21" spans="1:31" ht="16.5">
      <c r="A21" s="29">
        <v>18</v>
      </c>
      <c r="B21" s="43">
        <v>45784</v>
      </c>
      <c r="C21" s="34" t="s">
        <v>10</v>
      </c>
      <c r="D21" s="34" t="s">
        <v>66</v>
      </c>
      <c r="E21" s="34" t="s">
        <v>77</v>
      </c>
      <c r="F21" s="34">
        <v>59</v>
      </c>
      <c r="G21" s="34" t="s">
        <v>32</v>
      </c>
      <c r="H21" s="36">
        <v>230</v>
      </c>
      <c r="I21" s="36"/>
      <c r="J21" s="36"/>
      <c r="K21" s="36"/>
      <c r="L21" s="34">
        <v>1</v>
      </c>
      <c r="M21" s="37" t="s">
        <v>78</v>
      </c>
      <c r="N21" s="34">
        <v>3478930068</v>
      </c>
      <c r="P21" s="24">
        <v>45796</v>
      </c>
      <c r="Q21" s="38"/>
      <c r="R21" s="34">
        <v>12</v>
      </c>
      <c r="S21" s="34">
        <v>7</v>
      </c>
      <c r="T21" s="41">
        <f>S21/R21</f>
        <v>0.58333333333333337</v>
      </c>
      <c r="U21" s="34">
        <v>2</v>
      </c>
      <c r="V21" s="34">
        <v>1</v>
      </c>
      <c r="W21" s="41">
        <f>V21/U21</f>
        <v>0.5</v>
      </c>
      <c r="X21" s="41">
        <v>1</v>
      </c>
      <c r="Y21" s="34">
        <v>0</v>
      </c>
      <c r="Z21" s="34">
        <v>0</v>
      </c>
      <c r="AA21" s="34">
        <v>0</v>
      </c>
      <c r="AB21" s="34">
        <v>2</v>
      </c>
      <c r="AC21" s="34">
        <v>1</v>
      </c>
      <c r="AD21" s="34">
        <v>0</v>
      </c>
      <c r="AE21" s="42">
        <v>828</v>
      </c>
    </row>
    <row r="22" spans="1:31" ht="16.5">
      <c r="A22" s="29">
        <v>19</v>
      </c>
      <c r="B22" s="43">
        <v>45785</v>
      </c>
      <c r="C22" s="34" t="s">
        <v>39</v>
      </c>
      <c r="D22" s="34" t="s">
        <v>40</v>
      </c>
      <c r="E22" s="34" t="s">
        <v>79</v>
      </c>
      <c r="F22" s="34">
        <v>30</v>
      </c>
      <c r="G22" s="34" t="s">
        <v>32</v>
      </c>
      <c r="H22" s="36">
        <v>1308</v>
      </c>
      <c r="I22" s="36">
        <v>100</v>
      </c>
      <c r="J22" s="36"/>
      <c r="K22" s="36"/>
      <c r="L22" s="34">
        <v>12</v>
      </c>
      <c r="M22" s="34" t="s">
        <v>80</v>
      </c>
      <c r="N22" s="34">
        <v>3801282541</v>
      </c>
      <c r="P22" s="24">
        <v>45797</v>
      </c>
      <c r="Q22" s="38"/>
      <c r="R22" s="34">
        <v>8</v>
      </c>
      <c r="S22" s="34">
        <v>3</v>
      </c>
      <c r="T22" s="41">
        <f>S22/R22</f>
        <v>0.375</v>
      </c>
      <c r="U22" s="34">
        <v>2</v>
      </c>
      <c r="V22" s="34">
        <v>2</v>
      </c>
      <c r="W22" s="41">
        <v>1</v>
      </c>
      <c r="X22" s="41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42">
        <v>0</v>
      </c>
    </row>
    <row r="23" spans="1:31" ht="16.5">
      <c r="A23" s="29">
        <v>20</v>
      </c>
      <c r="B23" s="43">
        <v>45785</v>
      </c>
      <c r="C23" s="34" t="s">
        <v>29</v>
      </c>
      <c r="D23" s="34" t="s">
        <v>30</v>
      </c>
      <c r="E23" s="34" t="s">
        <v>81</v>
      </c>
      <c r="F23" s="34">
        <v>63</v>
      </c>
      <c r="G23" s="34" t="s">
        <v>32</v>
      </c>
      <c r="H23" s="36">
        <v>1000</v>
      </c>
      <c r="I23" s="36"/>
      <c r="J23" s="36"/>
      <c r="K23" s="36"/>
      <c r="L23" s="34">
        <v>4</v>
      </c>
      <c r="M23" s="37" t="s">
        <v>82</v>
      </c>
      <c r="N23" s="34">
        <v>3341432781</v>
      </c>
      <c r="P23" s="24">
        <v>45798</v>
      </c>
      <c r="Q23" s="38"/>
      <c r="R23" s="34">
        <v>5</v>
      </c>
      <c r="S23" s="34">
        <v>2</v>
      </c>
      <c r="T23" s="41">
        <f>S23/R23</f>
        <v>0.4</v>
      </c>
      <c r="U23" s="34">
        <v>1</v>
      </c>
      <c r="V23" s="34">
        <v>1</v>
      </c>
      <c r="W23" s="41">
        <v>1</v>
      </c>
      <c r="X23" s="41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42">
        <v>0</v>
      </c>
    </row>
    <row r="24" spans="1:31" ht="16.5">
      <c r="A24" s="35">
        <v>21</v>
      </c>
      <c r="B24" s="43">
        <v>45786</v>
      </c>
      <c r="C24" s="34" t="s">
        <v>68</v>
      </c>
      <c r="D24" s="34" t="s">
        <v>30</v>
      </c>
      <c r="E24" s="34" t="s">
        <v>83</v>
      </c>
      <c r="F24" s="34">
        <v>76</v>
      </c>
      <c r="G24" s="34" t="s">
        <v>32</v>
      </c>
      <c r="H24" s="36">
        <v>460</v>
      </c>
      <c r="I24" s="36"/>
      <c r="J24" s="36"/>
      <c r="K24" s="36"/>
      <c r="L24" s="34">
        <v>2</v>
      </c>
      <c r="M24" s="37" t="s">
        <v>78</v>
      </c>
      <c r="N24" s="34">
        <v>3477704840</v>
      </c>
      <c r="P24" s="24">
        <v>45799</v>
      </c>
      <c r="Q24" s="38"/>
      <c r="R24" s="34">
        <v>6</v>
      </c>
      <c r="S24" s="34">
        <v>2</v>
      </c>
      <c r="T24" s="41">
        <f>S24/R24</f>
        <v>0.33333333333333331</v>
      </c>
      <c r="U24" s="34">
        <v>2</v>
      </c>
      <c r="V24" s="34">
        <v>2</v>
      </c>
      <c r="W24" s="41">
        <v>1</v>
      </c>
      <c r="X24" s="41">
        <v>1</v>
      </c>
      <c r="Y24" s="34">
        <v>0</v>
      </c>
      <c r="Z24" s="34">
        <v>0</v>
      </c>
      <c r="AA24" s="34">
        <v>0</v>
      </c>
      <c r="AB24" s="34">
        <v>6</v>
      </c>
      <c r="AC24" s="34">
        <v>2</v>
      </c>
      <c r="AD24" s="34">
        <v>0</v>
      </c>
      <c r="AE24" s="42">
        <v>2200</v>
      </c>
    </row>
    <row r="25" spans="1:31" ht="16.5">
      <c r="A25" s="29">
        <v>22</v>
      </c>
      <c r="B25" s="43">
        <v>45787</v>
      </c>
      <c r="C25" s="34" t="s">
        <v>34</v>
      </c>
      <c r="D25" s="34" t="s">
        <v>30</v>
      </c>
      <c r="E25" s="34" t="s">
        <v>84</v>
      </c>
      <c r="F25" s="34">
        <v>42</v>
      </c>
      <c r="G25" s="34" t="s">
        <v>42</v>
      </c>
      <c r="H25" s="36">
        <v>230</v>
      </c>
      <c r="I25" s="36"/>
      <c r="J25" s="36"/>
      <c r="K25" s="36"/>
      <c r="L25" s="34">
        <v>1</v>
      </c>
      <c r="M25" s="37" t="s">
        <v>37</v>
      </c>
      <c r="N25" s="34">
        <v>3457033103</v>
      </c>
      <c r="P25" s="24">
        <v>45800</v>
      </c>
      <c r="Q25" s="38"/>
      <c r="R25" s="34">
        <v>9</v>
      </c>
      <c r="S25" s="34">
        <v>5</v>
      </c>
      <c r="T25" s="41">
        <f>S25/R25</f>
        <v>0.55555555555555558</v>
      </c>
      <c r="U25" s="34">
        <v>2</v>
      </c>
      <c r="V25" s="34">
        <v>2</v>
      </c>
      <c r="W25" s="41">
        <v>1</v>
      </c>
      <c r="X25" s="41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6">
        <v>0</v>
      </c>
    </row>
    <row r="26" spans="1:31" ht="16.5">
      <c r="A26" s="29">
        <v>23</v>
      </c>
      <c r="B26" s="43">
        <v>45787</v>
      </c>
      <c r="C26" s="34" t="s">
        <v>39</v>
      </c>
      <c r="D26" s="34" t="s">
        <v>58</v>
      </c>
      <c r="E26" s="34" t="s">
        <v>85</v>
      </c>
      <c r="F26" s="34">
        <v>37</v>
      </c>
      <c r="G26" s="34" t="s">
        <v>42</v>
      </c>
      <c r="H26" s="36">
        <v>2040</v>
      </c>
      <c r="I26" s="36">
        <v>100</v>
      </c>
      <c r="J26" s="36"/>
      <c r="K26" s="36">
        <v>79</v>
      </c>
      <c r="L26" s="34">
        <v>12</v>
      </c>
      <c r="M26" s="34" t="s">
        <v>86</v>
      </c>
      <c r="N26" s="34">
        <v>3932507660</v>
      </c>
      <c r="P26" s="24">
        <v>45801</v>
      </c>
      <c r="Q26" s="38"/>
      <c r="R26" s="34">
        <v>0</v>
      </c>
      <c r="S26" s="34">
        <v>0</v>
      </c>
      <c r="T26" s="41">
        <v>0</v>
      </c>
      <c r="U26" s="34">
        <v>5</v>
      </c>
      <c r="V26" s="34">
        <v>5</v>
      </c>
      <c r="W26" s="41">
        <v>1</v>
      </c>
      <c r="X26" s="41">
        <v>1</v>
      </c>
      <c r="Y26" s="34">
        <v>0</v>
      </c>
      <c r="Z26" s="34">
        <v>0</v>
      </c>
      <c r="AA26" s="34">
        <v>0</v>
      </c>
      <c r="AB26" s="34">
        <v>13</v>
      </c>
      <c r="AC26" s="34">
        <v>5</v>
      </c>
      <c r="AD26" s="34">
        <v>4</v>
      </c>
      <c r="AE26" s="36">
        <v>5828</v>
      </c>
    </row>
    <row r="27" spans="1:31" ht="16.5">
      <c r="A27" s="29">
        <v>24</v>
      </c>
      <c r="B27" s="43">
        <v>45787</v>
      </c>
      <c r="C27" s="34" t="s">
        <v>39</v>
      </c>
      <c r="D27" s="34" t="s">
        <v>40</v>
      </c>
      <c r="E27" s="34" t="s">
        <v>87</v>
      </c>
      <c r="F27" s="34">
        <v>31</v>
      </c>
      <c r="G27" s="34" t="s">
        <v>32</v>
      </c>
      <c r="H27" s="36">
        <v>1188</v>
      </c>
      <c r="I27" s="36">
        <v>100</v>
      </c>
      <c r="J27" s="36"/>
      <c r="K27" s="36">
        <v>79</v>
      </c>
      <c r="L27" s="34">
        <v>12</v>
      </c>
      <c r="M27" s="34" t="s">
        <v>88</v>
      </c>
      <c r="N27" s="34">
        <v>3385854434</v>
      </c>
      <c r="P27" s="24">
        <v>45802</v>
      </c>
      <c r="Q27" s="38"/>
      <c r="R27" s="34" t="s">
        <v>38</v>
      </c>
      <c r="S27" s="34" t="s">
        <v>38</v>
      </c>
      <c r="T27" s="34" t="s">
        <v>38</v>
      </c>
      <c r="U27" s="34" t="s">
        <v>38</v>
      </c>
      <c r="V27" s="34" t="s">
        <v>38</v>
      </c>
      <c r="W27" s="34" t="s">
        <v>38</v>
      </c>
      <c r="X27" s="34" t="s">
        <v>38</v>
      </c>
      <c r="Y27" s="34" t="s">
        <v>38</v>
      </c>
      <c r="Z27" s="34" t="s">
        <v>38</v>
      </c>
      <c r="AA27" s="34" t="s">
        <v>38</v>
      </c>
      <c r="AB27" s="34" t="s">
        <v>38</v>
      </c>
      <c r="AC27" s="34" t="s">
        <v>38</v>
      </c>
      <c r="AD27" s="34" t="s">
        <v>38</v>
      </c>
      <c r="AE27" s="34" t="s">
        <v>38</v>
      </c>
    </row>
    <row r="28" spans="1:31" ht="16.5">
      <c r="A28" s="35">
        <v>25</v>
      </c>
      <c r="B28" s="43">
        <v>45787</v>
      </c>
      <c r="C28" s="34" t="s">
        <v>29</v>
      </c>
      <c r="D28" s="34" t="s">
        <v>34</v>
      </c>
      <c r="E28" s="34" t="s">
        <v>89</v>
      </c>
      <c r="F28" s="34">
        <v>54</v>
      </c>
      <c r="G28" s="34" t="s">
        <v>32</v>
      </c>
      <c r="H28" s="36">
        <v>774</v>
      </c>
      <c r="I28" s="36">
        <v>100</v>
      </c>
      <c r="J28" s="36"/>
      <c r="K28" s="36">
        <v>79</v>
      </c>
      <c r="L28" s="34">
        <v>6</v>
      </c>
      <c r="M28" s="34" t="s">
        <v>55</v>
      </c>
      <c r="N28" s="45">
        <v>3471704684</v>
      </c>
      <c r="P28" s="24">
        <v>45803</v>
      </c>
      <c r="Q28" s="38"/>
      <c r="R28" s="34">
        <v>11</v>
      </c>
      <c r="S28" s="34">
        <v>5</v>
      </c>
      <c r="T28" s="41">
        <f>S28/R28</f>
        <v>0.45454545454545453</v>
      </c>
      <c r="U28" s="34">
        <v>2</v>
      </c>
      <c r="V28" s="34">
        <v>1</v>
      </c>
      <c r="W28" s="41">
        <v>0.5</v>
      </c>
      <c r="X28" s="44">
        <v>1</v>
      </c>
      <c r="Y28" s="34">
        <v>1</v>
      </c>
      <c r="Z28" s="34">
        <v>1</v>
      </c>
      <c r="AA28" s="44">
        <v>1</v>
      </c>
      <c r="AB28" s="34">
        <v>6</v>
      </c>
      <c r="AC28" s="34">
        <v>2</v>
      </c>
      <c r="AD28" s="34">
        <v>1</v>
      </c>
      <c r="AE28" s="36">
        <v>2100</v>
      </c>
    </row>
    <row r="29" spans="1:31" ht="16.5">
      <c r="A29" s="29">
        <v>26</v>
      </c>
      <c r="B29" s="43">
        <v>45787</v>
      </c>
      <c r="C29" s="34" t="s">
        <v>29</v>
      </c>
      <c r="D29" s="34" t="s">
        <v>53</v>
      </c>
      <c r="E29" s="34" t="s">
        <v>90</v>
      </c>
      <c r="F29" s="34">
        <v>62</v>
      </c>
      <c r="G29" s="34" t="s">
        <v>32</v>
      </c>
      <c r="H29" s="36">
        <v>1100</v>
      </c>
      <c r="I29" s="36"/>
      <c r="J29" s="36"/>
      <c r="K29" s="36">
        <v>79</v>
      </c>
      <c r="L29" s="34">
        <v>6</v>
      </c>
      <c r="M29" s="37" t="s">
        <v>91</v>
      </c>
      <c r="N29" s="34">
        <v>3498381853</v>
      </c>
      <c r="P29" s="24">
        <v>45804</v>
      </c>
      <c r="Q29" s="38"/>
      <c r="R29" s="34">
        <v>12</v>
      </c>
      <c r="S29" s="34">
        <v>6</v>
      </c>
      <c r="T29" s="41">
        <f>S29/R29</f>
        <v>0.5</v>
      </c>
      <c r="U29" s="34">
        <v>7</v>
      </c>
      <c r="V29" s="34">
        <v>7</v>
      </c>
      <c r="W29" s="41">
        <v>1</v>
      </c>
      <c r="X29" s="44">
        <v>1</v>
      </c>
      <c r="Y29" s="34">
        <v>2</v>
      </c>
      <c r="Z29" s="34">
        <v>1</v>
      </c>
      <c r="AA29" s="41">
        <v>0.5</v>
      </c>
      <c r="AB29" s="34">
        <v>11</v>
      </c>
      <c r="AC29" s="34">
        <v>5</v>
      </c>
      <c r="AD29" s="34">
        <v>0</v>
      </c>
      <c r="AE29" s="36">
        <v>4686</v>
      </c>
    </row>
    <row r="30" spans="1:31" ht="16.5">
      <c r="A30" s="29">
        <v>27</v>
      </c>
      <c r="B30" s="43">
        <v>45789</v>
      </c>
      <c r="C30" s="34" t="s">
        <v>39</v>
      </c>
      <c r="D30" s="34" t="s">
        <v>92</v>
      </c>
      <c r="E30" s="34" t="s">
        <v>93</v>
      </c>
      <c r="F30" s="34">
        <v>85</v>
      </c>
      <c r="G30" s="34" t="s">
        <v>32</v>
      </c>
      <c r="H30" s="36">
        <v>460</v>
      </c>
      <c r="I30" s="36"/>
      <c r="J30" s="36"/>
      <c r="K30" s="36"/>
      <c r="L30" s="34">
        <v>2</v>
      </c>
      <c r="M30" s="37" t="s">
        <v>78</v>
      </c>
      <c r="N30" s="34">
        <v>3383284544</v>
      </c>
      <c r="P30" s="24">
        <v>45805</v>
      </c>
      <c r="Q30" s="38"/>
      <c r="R30" s="34">
        <v>3</v>
      </c>
      <c r="S30" s="34">
        <v>1</v>
      </c>
      <c r="T30" s="41">
        <f>S30/R30</f>
        <v>0.33333333333333331</v>
      </c>
      <c r="U30" s="34">
        <v>8</v>
      </c>
      <c r="V30" s="34">
        <v>8</v>
      </c>
      <c r="W30" s="41">
        <v>1</v>
      </c>
      <c r="X30" s="44">
        <v>0.87</v>
      </c>
      <c r="Y30" s="34">
        <v>0</v>
      </c>
      <c r="Z30" s="34">
        <v>0</v>
      </c>
      <c r="AA30" s="41">
        <v>0</v>
      </c>
      <c r="AB30" s="34">
        <v>9</v>
      </c>
      <c r="AC30" s="34">
        <v>7</v>
      </c>
      <c r="AD30" s="34">
        <v>2</v>
      </c>
      <c r="AE30" s="36">
        <v>10142</v>
      </c>
    </row>
    <row r="31" spans="1:31" ht="16.5">
      <c r="A31" s="29">
        <v>28</v>
      </c>
      <c r="B31" s="43">
        <v>45789</v>
      </c>
      <c r="C31" s="34" t="s">
        <v>68</v>
      </c>
      <c r="D31" s="34" t="s">
        <v>53</v>
      </c>
      <c r="E31" s="34" t="s">
        <v>94</v>
      </c>
      <c r="F31" s="34">
        <v>65</v>
      </c>
      <c r="G31" s="34" t="s">
        <v>32</v>
      </c>
      <c r="H31" s="36">
        <v>460</v>
      </c>
      <c r="I31" s="36"/>
      <c r="J31" s="36"/>
      <c r="K31" s="36"/>
      <c r="L31" s="34">
        <v>2</v>
      </c>
      <c r="M31" s="37" t="s">
        <v>95</v>
      </c>
      <c r="N31" s="34">
        <v>3495632473</v>
      </c>
      <c r="P31" s="24">
        <v>45806</v>
      </c>
      <c r="Q31" s="38"/>
      <c r="R31" s="34">
        <v>2</v>
      </c>
      <c r="S31" s="34">
        <v>2</v>
      </c>
      <c r="T31" s="41">
        <f>S31/R31</f>
        <v>1</v>
      </c>
      <c r="U31" s="34">
        <v>5</v>
      </c>
      <c r="V31" s="34">
        <v>5</v>
      </c>
      <c r="W31" s="41">
        <v>1</v>
      </c>
      <c r="X31" s="44">
        <v>1</v>
      </c>
      <c r="Y31" s="34">
        <v>2</v>
      </c>
      <c r="Z31" s="34">
        <v>2</v>
      </c>
      <c r="AA31" s="41">
        <v>1</v>
      </c>
      <c r="AB31" s="34">
        <v>12</v>
      </c>
      <c r="AC31" s="34">
        <v>7</v>
      </c>
      <c r="AD31" s="34">
        <v>2</v>
      </c>
      <c r="AE31" s="36">
        <v>20904</v>
      </c>
    </row>
    <row r="32" spans="1:31" ht="16.5">
      <c r="A32" s="35">
        <v>29</v>
      </c>
      <c r="B32" s="43">
        <v>45789</v>
      </c>
      <c r="C32" s="34" t="s">
        <v>29</v>
      </c>
      <c r="D32" s="34" t="s">
        <v>30</v>
      </c>
      <c r="E32" s="34" t="s">
        <v>96</v>
      </c>
      <c r="F32" s="34">
        <v>35</v>
      </c>
      <c r="G32" s="34" t="s">
        <v>32</v>
      </c>
      <c r="H32" s="36">
        <v>230</v>
      </c>
      <c r="I32" s="36"/>
      <c r="J32" s="36"/>
      <c r="K32" s="36"/>
      <c r="L32" s="34">
        <v>1</v>
      </c>
      <c r="M32" s="37" t="s">
        <v>78</v>
      </c>
      <c r="N32" s="34"/>
      <c r="P32" s="24">
        <v>45807</v>
      </c>
      <c r="Q32" s="38"/>
      <c r="R32" s="34"/>
      <c r="S32" s="34"/>
      <c r="T32" s="41"/>
      <c r="U32" s="34"/>
      <c r="V32" s="34"/>
      <c r="W32" s="41"/>
      <c r="X32" s="41"/>
      <c r="Y32" s="34"/>
      <c r="Z32" s="34"/>
      <c r="AA32" s="41"/>
      <c r="AB32" s="34"/>
      <c r="AC32" s="34"/>
      <c r="AD32" s="34"/>
      <c r="AE32" s="36"/>
    </row>
    <row r="33" spans="1:31" ht="16.5">
      <c r="A33" s="29">
        <v>30</v>
      </c>
      <c r="B33" s="43">
        <v>45789</v>
      </c>
      <c r="C33" s="34" t="s">
        <v>39</v>
      </c>
      <c r="D33" s="34" t="s">
        <v>30</v>
      </c>
      <c r="E33" s="34" t="s">
        <v>97</v>
      </c>
      <c r="F33" s="34">
        <v>36</v>
      </c>
      <c r="G33" s="34" t="s">
        <v>42</v>
      </c>
      <c r="H33" s="36">
        <v>230</v>
      </c>
      <c r="I33" s="36"/>
      <c r="J33" s="36"/>
      <c r="K33" s="36"/>
      <c r="L33" s="34">
        <v>1</v>
      </c>
      <c r="M33" s="37" t="s">
        <v>78</v>
      </c>
      <c r="N33" s="34">
        <v>3358158808</v>
      </c>
      <c r="P33" s="24">
        <v>45808</v>
      </c>
      <c r="Q33" s="38"/>
      <c r="R33" s="34"/>
      <c r="S33" s="34"/>
      <c r="T33" s="41"/>
      <c r="U33" s="34"/>
      <c r="V33" s="34"/>
      <c r="W33" s="41"/>
      <c r="X33" s="41"/>
      <c r="Y33" s="34"/>
      <c r="Z33" s="34"/>
      <c r="AA33" s="41"/>
      <c r="AB33" s="34"/>
      <c r="AC33" s="34"/>
      <c r="AD33" s="34"/>
      <c r="AE33" s="36"/>
    </row>
    <row r="34" spans="1:31" ht="16.5">
      <c r="A34" s="29">
        <v>31</v>
      </c>
      <c r="B34" s="43">
        <v>45789</v>
      </c>
      <c r="C34" s="34" t="s">
        <v>71</v>
      </c>
      <c r="D34" s="34" t="s">
        <v>98</v>
      </c>
      <c r="E34" s="34" t="s">
        <v>99</v>
      </c>
      <c r="F34" s="34">
        <v>62</v>
      </c>
      <c r="G34" s="34" t="s">
        <v>32</v>
      </c>
      <c r="H34" s="36">
        <v>149</v>
      </c>
      <c r="I34" s="36"/>
      <c r="J34" s="36"/>
      <c r="K34" s="36"/>
      <c r="L34" s="34">
        <v>1</v>
      </c>
      <c r="M34" s="34" t="s">
        <v>100</v>
      </c>
      <c r="N34" s="34" t="s">
        <v>101</v>
      </c>
      <c r="P34" s="24"/>
      <c r="Q34" s="38">
        <v>2025</v>
      </c>
      <c r="R34" s="46">
        <f>SUM(R3:R33)</f>
        <v>176</v>
      </c>
      <c r="S34" s="34">
        <f>SUM(S3:S33)</f>
        <v>93</v>
      </c>
      <c r="T34" s="47">
        <f>S34/R34</f>
        <v>0.52840909090909094</v>
      </c>
      <c r="U34" s="34">
        <f>SUM(U3:U33)</f>
        <v>89</v>
      </c>
      <c r="V34" s="34">
        <f>SUM(V3:V33)</f>
        <v>79</v>
      </c>
      <c r="W34" s="47">
        <f>V34/U34</f>
        <v>0.88764044943820219</v>
      </c>
      <c r="X34" s="48">
        <v>0.77</v>
      </c>
      <c r="Y34" s="49">
        <f>SUM(Y3:Y33)</f>
        <v>10</v>
      </c>
      <c r="Z34" s="34">
        <f>SUM(Z3:Z33)</f>
        <v>7</v>
      </c>
      <c r="AA34" s="50">
        <f>Z34/Y34</f>
        <v>0.7</v>
      </c>
      <c r="AB34" s="37">
        <f>SUM(AB3:AB33)</f>
        <v>134</v>
      </c>
      <c r="AC34" s="34">
        <f>SUM(AC3:AC33)</f>
        <v>74</v>
      </c>
      <c r="AD34" s="46">
        <f>SUM(AD3:AD33)</f>
        <v>22</v>
      </c>
      <c r="AE34" s="36">
        <v>63259</v>
      </c>
    </row>
    <row r="35" spans="1:31" ht="16.5">
      <c r="A35" s="29">
        <v>32</v>
      </c>
      <c r="B35" s="43">
        <v>45789</v>
      </c>
      <c r="C35" s="34" t="s">
        <v>71</v>
      </c>
      <c r="D35" s="34" t="s">
        <v>98</v>
      </c>
      <c r="E35" s="34" t="s">
        <v>102</v>
      </c>
      <c r="F35" s="34">
        <v>75</v>
      </c>
      <c r="G35" s="34" t="s">
        <v>42</v>
      </c>
      <c r="H35" s="36">
        <v>149</v>
      </c>
      <c r="I35" s="36"/>
      <c r="J35" s="36"/>
      <c r="K35" s="36"/>
      <c r="L35" s="34">
        <v>1</v>
      </c>
      <c r="M35" s="34" t="s">
        <v>103</v>
      </c>
      <c r="N35" s="34" t="s">
        <v>104</v>
      </c>
      <c r="P35" s="51"/>
      <c r="Q35" s="52">
        <v>2024</v>
      </c>
      <c r="R35" s="52">
        <v>137</v>
      </c>
      <c r="S35" s="52"/>
      <c r="T35" s="53">
        <v>0.45</v>
      </c>
      <c r="U35" s="52"/>
      <c r="V35" s="52"/>
      <c r="W35" s="53">
        <v>0.85</v>
      </c>
      <c r="X35" s="53">
        <v>0.8</v>
      </c>
      <c r="Y35" s="52">
        <v>9</v>
      </c>
      <c r="Z35" s="52"/>
      <c r="AA35" s="53">
        <v>0.44</v>
      </c>
      <c r="AB35" s="52">
        <v>71</v>
      </c>
      <c r="AC35" s="52"/>
      <c r="AD35" s="52">
        <v>4</v>
      </c>
      <c r="AE35" s="52"/>
    </row>
    <row r="36" spans="1:31" ht="16.5">
      <c r="A36" s="35">
        <v>33</v>
      </c>
      <c r="B36" s="43">
        <v>45790</v>
      </c>
      <c r="C36" s="34" t="s">
        <v>68</v>
      </c>
      <c r="D36" s="34" t="s">
        <v>40</v>
      </c>
      <c r="E36" s="34" t="s">
        <v>105</v>
      </c>
      <c r="F36" s="34">
        <v>48</v>
      </c>
      <c r="G36" s="34" t="s">
        <v>42</v>
      </c>
      <c r="H36" s="36">
        <v>230</v>
      </c>
      <c r="I36" s="36"/>
      <c r="J36" s="36"/>
      <c r="K36" s="36"/>
      <c r="L36" s="34">
        <v>1</v>
      </c>
      <c r="M36" s="37" t="s">
        <v>37</v>
      </c>
      <c r="N36" s="34">
        <v>3382915924</v>
      </c>
    </row>
    <row r="37" spans="1:31" ht="16.5">
      <c r="A37" s="35">
        <v>34</v>
      </c>
      <c r="B37" s="43">
        <v>45790</v>
      </c>
      <c r="C37" s="34" t="s">
        <v>68</v>
      </c>
      <c r="D37" s="34" t="s">
        <v>58</v>
      </c>
      <c r="E37" s="34" t="s">
        <v>106</v>
      </c>
      <c r="F37" s="34">
        <v>55</v>
      </c>
      <c r="G37" s="34" t="s">
        <v>32</v>
      </c>
      <c r="H37" s="36">
        <v>1800</v>
      </c>
      <c r="I37" s="36"/>
      <c r="J37" s="36"/>
      <c r="K37" s="36">
        <v>79</v>
      </c>
      <c r="L37" s="34">
        <v>12</v>
      </c>
      <c r="M37" s="34" t="s">
        <v>107</v>
      </c>
      <c r="N37" s="34">
        <v>3331123989</v>
      </c>
    </row>
    <row r="38" spans="1:31" ht="16.5">
      <c r="A38" s="29">
        <v>35</v>
      </c>
      <c r="B38" s="43">
        <v>45790</v>
      </c>
      <c r="C38" s="34" t="s">
        <v>10</v>
      </c>
      <c r="D38" s="34" t="s">
        <v>30</v>
      </c>
      <c r="E38" s="34" t="s">
        <v>108</v>
      </c>
      <c r="F38" s="34">
        <v>39</v>
      </c>
      <c r="G38" s="34" t="s">
        <v>42</v>
      </c>
      <c r="H38" s="36">
        <v>230</v>
      </c>
      <c r="I38" s="36"/>
      <c r="J38" s="36"/>
      <c r="K38" s="36"/>
      <c r="L38" s="34">
        <v>1</v>
      </c>
      <c r="M38" s="54" t="s">
        <v>37</v>
      </c>
      <c r="N38" s="34">
        <v>3405472509</v>
      </c>
    </row>
    <row r="39" spans="1:31" ht="16.5">
      <c r="A39" s="29">
        <v>36</v>
      </c>
      <c r="B39" s="43">
        <v>45791</v>
      </c>
      <c r="C39" s="34" t="s">
        <v>29</v>
      </c>
      <c r="D39" s="34" t="s">
        <v>58</v>
      </c>
      <c r="E39" s="34" t="s">
        <v>109</v>
      </c>
      <c r="F39" s="34">
        <v>63</v>
      </c>
      <c r="G39" s="34" t="s">
        <v>32</v>
      </c>
      <c r="H39" s="36">
        <v>1896</v>
      </c>
      <c r="I39" s="36">
        <v>100</v>
      </c>
      <c r="J39" s="36"/>
      <c r="K39" s="36">
        <v>79</v>
      </c>
      <c r="L39" s="34">
        <v>12</v>
      </c>
      <c r="M39" s="34" t="s">
        <v>91</v>
      </c>
      <c r="N39" s="34">
        <v>3806009170</v>
      </c>
    </row>
    <row r="40" spans="1:31" ht="16.5">
      <c r="A40" s="29">
        <v>37</v>
      </c>
      <c r="B40" s="43">
        <v>45791</v>
      </c>
      <c r="C40" s="34" t="s">
        <v>29</v>
      </c>
      <c r="D40" s="34" t="s">
        <v>58</v>
      </c>
      <c r="E40" s="34" t="s">
        <v>110</v>
      </c>
      <c r="F40" s="34">
        <v>64</v>
      </c>
      <c r="G40" s="34" t="s">
        <v>42</v>
      </c>
      <c r="H40" s="36">
        <v>1896</v>
      </c>
      <c r="I40" s="36">
        <v>100</v>
      </c>
      <c r="J40" s="36"/>
      <c r="K40" s="36">
        <v>79</v>
      </c>
      <c r="L40" s="34">
        <v>12</v>
      </c>
      <c r="M40" s="34" t="s">
        <v>111</v>
      </c>
      <c r="N40" s="34">
        <v>3356009170</v>
      </c>
    </row>
    <row r="41" spans="1:31" ht="16.5">
      <c r="A41" s="35">
        <v>38</v>
      </c>
      <c r="B41" s="43">
        <v>45792</v>
      </c>
      <c r="C41" s="34" t="s">
        <v>71</v>
      </c>
      <c r="D41" s="34" t="s">
        <v>72</v>
      </c>
      <c r="E41" s="34" t="s">
        <v>112</v>
      </c>
      <c r="F41" s="34">
        <v>35</v>
      </c>
      <c r="G41" s="34" t="s">
        <v>32</v>
      </c>
      <c r="H41" s="36">
        <v>620</v>
      </c>
      <c r="I41" s="36"/>
      <c r="J41" s="36"/>
      <c r="K41" s="36"/>
      <c r="L41" s="34">
        <v>12</v>
      </c>
      <c r="M41" s="54" t="s">
        <v>74</v>
      </c>
      <c r="N41" s="34">
        <v>3494261305</v>
      </c>
    </row>
    <row r="42" spans="1:31" ht="16.5">
      <c r="A42" s="35">
        <v>39</v>
      </c>
      <c r="B42" s="43">
        <v>45792</v>
      </c>
      <c r="C42" s="34" t="s">
        <v>39</v>
      </c>
      <c r="D42" s="34" t="s">
        <v>30</v>
      </c>
      <c r="E42" s="34" t="s">
        <v>113</v>
      </c>
      <c r="F42" s="34">
        <v>46</v>
      </c>
      <c r="G42" s="34" t="s">
        <v>32</v>
      </c>
      <c r="H42" s="36">
        <v>230</v>
      </c>
      <c r="I42" s="36"/>
      <c r="J42" s="36"/>
      <c r="K42" s="36"/>
      <c r="L42" s="34">
        <v>1</v>
      </c>
      <c r="M42" s="37" t="s">
        <v>78</v>
      </c>
      <c r="N42" s="34">
        <v>3471035958</v>
      </c>
    </row>
    <row r="43" spans="1:31" ht="16.5">
      <c r="A43" s="29">
        <v>40</v>
      </c>
      <c r="B43" s="43">
        <v>45793</v>
      </c>
      <c r="C43" s="34"/>
      <c r="D43" s="34" t="s">
        <v>30</v>
      </c>
      <c r="E43" s="34" t="s">
        <v>114</v>
      </c>
      <c r="F43" s="34">
        <v>69</v>
      </c>
      <c r="G43" s="34" t="s">
        <v>32</v>
      </c>
      <c r="H43" s="36">
        <v>1021</v>
      </c>
      <c r="I43" s="36"/>
      <c r="J43" s="36"/>
      <c r="K43" s="36">
        <v>79</v>
      </c>
      <c r="L43" s="34">
        <v>6</v>
      </c>
      <c r="M43" s="37" t="s">
        <v>33</v>
      </c>
      <c r="N43" s="34">
        <v>3356532757</v>
      </c>
    </row>
    <row r="44" spans="1:31" ht="16.5">
      <c r="A44" s="29">
        <v>41</v>
      </c>
      <c r="B44" s="43">
        <v>45793</v>
      </c>
      <c r="C44" s="34" t="s">
        <v>72</v>
      </c>
      <c r="D44" s="34" t="s">
        <v>115</v>
      </c>
      <c r="E44" s="34" t="s">
        <v>116</v>
      </c>
      <c r="F44" s="34">
        <v>21</v>
      </c>
      <c r="G44" s="34" t="s">
        <v>32</v>
      </c>
      <c r="H44" s="36">
        <v>948</v>
      </c>
      <c r="I44" s="36"/>
      <c r="J44" s="36"/>
      <c r="K44" s="36"/>
      <c r="L44" s="34">
        <v>12</v>
      </c>
      <c r="M44" s="34" t="s">
        <v>117</v>
      </c>
      <c r="N44" s="34">
        <v>3487653797</v>
      </c>
    </row>
    <row r="45" spans="1:31" ht="16.5">
      <c r="A45" s="29">
        <v>42</v>
      </c>
      <c r="B45" s="43">
        <v>45796</v>
      </c>
      <c r="C45" s="34" t="s">
        <v>118</v>
      </c>
      <c r="D45" s="34" t="s">
        <v>50</v>
      </c>
      <c r="E45" s="34" t="s">
        <v>119</v>
      </c>
      <c r="F45" s="34">
        <v>26</v>
      </c>
      <c r="G45" s="34" t="s">
        <v>42</v>
      </c>
      <c r="H45" s="36">
        <v>828</v>
      </c>
      <c r="I45" s="36"/>
      <c r="J45" s="36"/>
      <c r="K45" s="36"/>
      <c r="L45" s="34">
        <v>12</v>
      </c>
      <c r="M45" s="34" t="s">
        <v>120</v>
      </c>
      <c r="N45" s="34">
        <v>3489716130</v>
      </c>
    </row>
    <row r="46" spans="1:31" ht="16.5">
      <c r="A46" s="29">
        <v>43</v>
      </c>
      <c r="B46" s="43">
        <v>45799</v>
      </c>
      <c r="C46" s="34" t="s">
        <v>29</v>
      </c>
      <c r="D46" s="34" t="s">
        <v>53</v>
      </c>
      <c r="E46" s="34" t="s">
        <v>121</v>
      </c>
      <c r="F46" s="34">
        <v>66</v>
      </c>
      <c r="G46" s="34" t="s">
        <v>32</v>
      </c>
      <c r="H46" s="36">
        <v>1000</v>
      </c>
      <c r="I46" s="36">
        <v>100</v>
      </c>
      <c r="J46" s="36"/>
      <c r="K46" s="36"/>
      <c r="L46" s="34">
        <v>6</v>
      </c>
      <c r="M46" s="37" t="s">
        <v>33</v>
      </c>
      <c r="N46" s="34">
        <v>3356793763</v>
      </c>
    </row>
    <row r="47" spans="1:31" ht="16.5">
      <c r="A47" s="29">
        <v>44</v>
      </c>
      <c r="B47" s="43">
        <v>45799</v>
      </c>
      <c r="C47" s="34" t="s">
        <v>39</v>
      </c>
      <c r="D47" s="34" t="s">
        <v>30</v>
      </c>
      <c r="E47" s="34" t="s">
        <v>122</v>
      </c>
      <c r="F47" s="34">
        <v>40</v>
      </c>
      <c r="G47" s="34" t="s">
        <v>32</v>
      </c>
      <c r="H47" s="36">
        <v>1100</v>
      </c>
      <c r="I47" s="36"/>
      <c r="J47" s="36"/>
      <c r="K47" s="36"/>
      <c r="L47" s="34">
        <v>6</v>
      </c>
      <c r="M47" s="37" t="s">
        <v>33</v>
      </c>
      <c r="N47" s="34">
        <v>3922618887</v>
      </c>
    </row>
    <row r="48" spans="1:31" ht="16.5">
      <c r="A48" s="29">
        <v>45</v>
      </c>
      <c r="B48" s="43">
        <v>45801</v>
      </c>
      <c r="C48" s="34" t="s">
        <v>39</v>
      </c>
      <c r="D48" s="34" t="s">
        <v>40</v>
      </c>
      <c r="E48" s="34" t="s">
        <v>123</v>
      </c>
      <c r="F48" s="34">
        <v>34</v>
      </c>
      <c r="G48" s="34" t="s">
        <v>32</v>
      </c>
      <c r="H48" s="36">
        <v>1308</v>
      </c>
      <c r="I48" s="36"/>
      <c r="J48" s="36"/>
      <c r="K48" s="36">
        <v>79</v>
      </c>
      <c r="L48" s="34">
        <v>12</v>
      </c>
      <c r="M48" s="34" t="s">
        <v>80</v>
      </c>
      <c r="N48" s="34">
        <v>3408066437</v>
      </c>
    </row>
    <row r="49" spans="1:14" ht="16.5">
      <c r="A49" s="29">
        <v>46</v>
      </c>
      <c r="B49" s="43">
        <v>45801</v>
      </c>
      <c r="C49" s="34" t="s">
        <v>124</v>
      </c>
      <c r="D49" s="34" t="s">
        <v>125</v>
      </c>
      <c r="E49" s="34" t="s">
        <v>126</v>
      </c>
      <c r="F49" s="34">
        <v>21</v>
      </c>
      <c r="G49" s="34" t="s">
        <v>32</v>
      </c>
      <c r="H49" s="36"/>
      <c r="I49" s="36"/>
      <c r="J49" s="36"/>
      <c r="K49" s="36">
        <v>79</v>
      </c>
      <c r="L49" s="34">
        <v>12</v>
      </c>
      <c r="M49" s="34" t="s">
        <v>127</v>
      </c>
      <c r="N49" s="34">
        <v>3273019274</v>
      </c>
    </row>
    <row r="50" spans="1:14" ht="16.5">
      <c r="A50" s="29">
        <v>47</v>
      </c>
      <c r="B50" s="43">
        <v>45801</v>
      </c>
      <c r="C50" s="34" t="s">
        <v>68</v>
      </c>
      <c r="D50" s="34" t="s">
        <v>58</v>
      </c>
      <c r="E50" s="34" t="s">
        <v>128</v>
      </c>
      <c r="F50" s="34">
        <v>55</v>
      </c>
      <c r="G50" s="34" t="s">
        <v>32</v>
      </c>
      <c r="H50" s="36">
        <v>1896</v>
      </c>
      <c r="I50" s="36">
        <v>100</v>
      </c>
      <c r="J50" s="36"/>
      <c r="K50" s="36">
        <v>79</v>
      </c>
      <c r="L50" s="34">
        <v>12</v>
      </c>
      <c r="M50" s="34" t="s">
        <v>91</v>
      </c>
      <c r="N50" s="34">
        <v>3470031971</v>
      </c>
    </row>
    <row r="51" spans="1:14" ht="16.5">
      <c r="A51" s="29">
        <v>48</v>
      </c>
      <c r="B51" s="43">
        <v>45801</v>
      </c>
      <c r="C51" s="34" t="s">
        <v>29</v>
      </c>
      <c r="D51" s="34" t="s">
        <v>40</v>
      </c>
      <c r="E51" s="34" t="s">
        <v>129</v>
      </c>
      <c r="F51" s="34">
        <v>45</v>
      </c>
      <c r="G51" s="34" t="s">
        <v>32</v>
      </c>
      <c r="H51" s="36">
        <v>1846</v>
      </c>
      <c r="I51" s="36">
        <v>100</v>
      </c>
      <c r="J51" s="36">
        <v>50</v>
      </c>
      <c r="K51" s="36">
        <v>79</v>
      </c>
      <c r="L51" s="34">
        <v>12</v>
      </c>
      <c r="M51" s="34" t="s">
        <v>91</v>
      </c>
      <c r="N51" s="34">
        <v>3475771621</v>
      </c>
    </row>
    <row r="52" spans="1:14" ht="16.5">
      <c r="A52" s="29">
        <v>49</v>
      </c>
      <c r="B52" s="43">
        <v>45801</v>
      </c>
      <c r="C52" s="34" t="s">
        <v>29</v>
      </c>
      <c r="D52" s="34" t="s">
        <v>40</v>
      </c>
      <c r="E52" s="34" t="s">
        <v>130</v>
      </c>
      <c r="F52" s="34">
        <v>7</v>
      </c>
      <c r="G52" s="34" t="s">
        <v>32</v>
      </c>
      <c r="H52" s="36">
        <v>528</v>
      </c>
      <c r="I52" s="36">
        <v>50</v>
      </c>
      <c r="J52" s="36"/>
      <c r="K52" s="36"/>
      <c r="L52" s="34">
        <v>12</v>
      </c>
      <c r="M52" s="34" t="s">
        <v>131</v>
      </c>
      <c r="N52" s="34">
        <v>3475771621</v>
      </c>
    </row>
    <row r="53" spans="1:14" ht="16.5">
      <c r="A53" s="29">
        <v>50</v>
      </c>
      <c r="B53" s="43">
        <v>45803</v>
      </c>
      <c r="C53" s="34" t="s">
        <v>68</v>
      </c>
      <c r="D53" s="34" t="s">
        <v>50</v>
      </c>
      <c r="E53" s="34" t="s">
        <v>132</v>
      </c>
      <c r="F53" s="34">
        <v>69</v>
      </c>
      <c r="G53" s="34" t="s">
        <v>42</v>
      </c>
      <c r="H53" s="36">
        <v>1000</v>
      </c>
      <c r="I53" s="36">
        <v>100</v>
      </c>
      <c r="J53" s="36"/>
      <c r="K53" s="36"/>
      <c r="L53" s="34">
        <v>6</v>
      </c>
      <c r="M53" s="37" t="s">
        <v>133</v>
      </c>
      <c r="N53" s="34">
        <v>3356875203</v>
      </c>
    </row>
    <row r="54" spans="1:14" ht="16.5">
      <c r="A54" s="29">
        <v>51</v>
      </c>
      <c r="B54" s="43">
        <v>45803</v>
      </c>
      <c r="C54" s="34" t="s">
        <v>10</v>
      </c>
      <c r="D54" s="34" t="s">
        <v>58</v>
      </c>
      <c r="E54" s="34" t="s">
        <v>134</v>
      </c>
      <c r="F54" s="34"/>
      <c r="G54" s="34" t="s">
        <v>32</v>
      </c>
      <c r="H54" s="36">
        <v>1000</v>
      </c>
      <c r="I54" s="36"/>
      <c r="J54" s="36">
        <v>50</v>
      </c>
      <c r="K54" s="36">
        <v>79</v>
      </c>
      <c r="L54" s="34">
        <v>4</v>
      </c>
      <c r="M54" s="37" t="s">
        <v>135</v>
      </c>
      <c r="N54" s="34">
        <v>3401670885</v>
      </c>
    </row>
    <row r="55" spans="1:14" ht="16.5">
      <c r="A55" s="29">
        <v>52</v>
      </c>
      <c r="B55" s="43">
        <v>45804</v>
      </c>
      <c r="C55" s="34" t="s">
        <v>29</v>
      </c>
      <c r="D55" s="34" t="s">
        <v>34</v>
      </c>
      <c r="E55" s="34" t="s">
        <v>136</v>
      </c>
      <c r="F55" s="34">
        <v>58</v>
      </c>
      <c r="G55" s="34" t="s">
        <v>32</v>
      </c>
      <c r="H55" s="36">
        <v>1188</v>
      </c>
      <c r="I55" s="36"/>
      <c r="J55" s="36"/>
      <c r="K55" s="36"/>
      <c r="L55" s="34">
        <v>12</v>
      </c>
      <c r="M55" s="34" t="s">
        <v>55</v>
      </c>
      <c r="N55" s="34">
        <v>3402394577</v>
      </c>
    </row>
    <row r="56" spans="1:14" ht="16.5">
      <c r="A56" s="29">
        <v>53</v>
      </c>
      <c r="B56" s="43">
        <v>45804</v>
      </c>
      <c r="C56" s="34" t="s">
        <v>34</v>
      </c>
      <c r="D56" s="34" t="s">
        <v>40</v>
      </c>
      <c r="E56" s="34" t="s">
        <v>137</v>
      </c>
      <c r="F56" s="34">
        <v>66</v>
      </c>
      <c r="G56" s="34" t="s">
        <v>42</v>
      </c>
      <c r="H56" s="36">
        <v>230</v>
      </c>
      <c r="I56" s="36"/>
      <c r="J56" s="36"/>
      <c r="K56" s="36"/>
      <c r="L56" s="34">
        <v>1</v>
      </c>
      <c r="M56" s="37" t="s">
        <v>37</v>
      </c>
      <c r="N56" s="34">
        <v>3351015452</v>
      </c>
    </row>
    <row r="57" spans="1:14" ht="16.5">
      <c r="A57" s="29">
        <v>54</v>
      </c>
      <c r="B57" s="43">
        <v>45804</v>
      </c>
      <c r="C57" s="34" t="s">
        <v>29</v>
      </c>
      <c r="D57" s="34" t="s">
        <v>58</v>
      </c>
      <c r="E57" s="34" t="s">
        <v>138</v>
      </c>
      <c r="F57" s="34">
        <v>24</v>
      </c>
      <c r="G57" s="34" t="s">
        <v>32</v>
      </c>
      <c r="H57" s="36">
        <v>1068</v>
      </c>
      <c r="I57" s="36">
        <v>100</v>
      </c>
      <c r="J57" s="36"/>
      <c r="K57" s="36"/>
      <c r="L57" s="34">
        <v>12</v>
      </c>
      <c r="M57" s="34" t="s">
        <v>139</v>
      </c>
      <c r="N57" s="34">
        <v>3515361139</v>
      </c>
    </row>
    <row r="58" spans="1:14" ht="16.5">
      <c r="A58" s="29">
        <v>55</v>
      </c>
      <c r="B58" s="43">
        <v>45804</v>
      </c>
      <c r="C58" s="34" t="s">
        <v>29</v>
      </c>
      <c r="D58" s="34" t="s">
        <v>50</v>
      </c>
      <c r="E58" s="34" t="s">
        <v>140</v>
      </c>
      <c r="F58" s="34">
        <v>87</v>
      </c>
      <c r="G58" s="34" t="s">
        <v>42</v>
      </c>
      <c r="H58" s="36">
        <v>1000</v>
      </c>
      <c r="I58" s="36">
        <v>100</v>
      </c>
      <c r="J58" s="36">
        <v>50</v>
      </c>
      <c r="K58" s="36"/>
      <c r="L58" s="34">
        <v>4</v>
      </c>
      <c r="M58" s="37" t="s">
        <v>141</v>
      </c>
      <c r="N58" s="34">
        <v>3355911360</v>
      </c>
    </row>
    <row r="59" spans="1:14" ht="16.5">
      <c r="A59" s="29">
        <v>56</v>
      </c>
      <c r="B59" s="43">
        <v>45804</v>
      </c>
      <c r="C59" s="34" t="s">
        <v>10</v>
      </c>
      <c r="D59" s="34" t="s">
        <v>34</v>
      </c>
      <c r="E59" s="34" t="s">
        <v>142</v>
      </c>
      <c r="F59" s="34">
        <v>43</v>
      </c>
      <c r="G59" s="34" t="s">
        <v>32</v>
      </c>
      <c r="H59" s="36">
        <v>1000</v>
      </c>
      <c r="I59" s="36"/>
      <c r="J59" s="36"/>
      <c r="K59" s="36"/>
      <c r="L59" s="34">
        <v>4</v>
      </c>
      <c r="M59" s="37" t="s">
        <v>141</v>
      </c>
      <c r="N59" s="34">
        <v>3895964875</v>
      </c>
    </row>
    <row r="60" spans="1:14" ht="16.5">
      <c r="A60" s="29">
        <v>57</v>
      </c>
      <c r="B60" s="43">
        <v>45805</v>
      </c>
      <c r="C60" s="34" t="s">
        <v>68</v>
      </c>
      <c r="D60" s="34" t="s">
        <v>40</v>
      </c>
      <c r="E60" s="34" t="s">
        <v>143</v>
      </c>
      <c r="F60" s="34">
        <v>53</v>
      </c>
      <c r="G60" s="34" t="s">
        <v>42</v>
      </c>
      <c r="H60" s="36">
        <v>2040</v>
      </c>
      <c r="I60" s="36">
        <v>100</v>
      </c>
      <c r="J60" s="36"/>
      <c r="K60" s="36">
        <v>79</v>
      </c>
      <c r="L60" s="34">
        <v>12</v>
      </c>
      <c r="M60" s="34" t="s">
        <v>86</v>
      </c>
      <c r="N60" s="34">
        <v>3355744985</v>
      </c>
    </row>
    <row r="61" spans="1:14" ht="16.5">
      <c r="A61" s="29">
        <v>58</v>
      </c>
      <c r="B61" s="43">
        <v>45805</v>
      </c>
      <c r="C61" s="34" t="s">
        <v>29</v>
      </c>
      <c r="D61" s="34" t="s">
        <v>50</v>
      </c>
      <c r="E61" s="34" t="s">
        <v>144</v>
      </c>
      <c r="F61" s="34">
        <v>69</v>
      </c>
      <c r="G61" s="34" t="s">
        <v>42</v>
      </c>
      <c r="H61" s="36">
        <v>1800</v>
      </c>
      <c r="I61" s="36">
        <v>50</v>
      </c>
      <c r="J61" s="36"/>
      <c r="K61" s="36"/>
      <c r="L61" s="34">
        <v>12</v>
      </c>
      <c r="M61" s="34" t="s">
        <v>111</v>
      </c>
      <c r="N61" s="34">
        <v>3281230836</v>
      </c>
    </row>
    <row r="62" spans="1:14" ht="16.5">
      <c r="A62" s="29">
        <v>59</v>
      </c>
      <c r="B62" s="43">
        <v>45805</v>
      </c>
      <c r="C62" s="34" t="s">
        <v>29</v>
      </c>
      <c r="D62" s="34" t="s">
        <v>53</v>
      </c>
      <c r="E62" s="34" t="s">
        <v>145</v>
      </c>
      <c r="F62" s="34">
        <v>60</v>
      </c>
      <c r="G62" s="34" t="s">
        <v>32</v>
      </c>
      <c r="H62" s="36">
        <v>1800</v>
      </c>
      <c r="I62" s="36">
        <v>50</v>
      </c>
      <c r="J62" s="36"/>
      <c r="K62" s="36"/>
      <c r="L62" s="34">
        <v>12</v>
      </c>
      <c r="M62" s="34" t="s">
        <v>91</v>
      </c>
      <c r="N62" s="34">
        <v>3293649651</v>
      </c>
    </row>
    <row r="63" spans="1:14" ht="16.5">
      <c r="A63" s="29">
        <v>60</v>
      </c>
      <c r="B63" s="43">
        <v>45805</v>
      </c>
      <c r="C63" s="34" t="s">
        <v>39</v>
      </c>
      <c r="D63" s="34" t="s">
        <v>58</v>
      </c>
      <c r="E63" s="34" t="s">
        <v>146</v>
      </c>
      <c r="F63" s="34">
        <v>48</v>
      </c>
      <c r="G63" s="34" t="s">
        <v>32</v>
      </c>
      <c r="H63" s="36">
        <v>1896</v>
      </c>
      <c r="I63" s="36">
        <v>50</v>
      </c>
      <c r="J63" s="36"/>
      <c r="K63" s="36"/>
      <c r="L63" s="34">
        <v>12</v>
      </c>
      <c r="M63" s="34" t="s">
        <v>147</v>
      </c>
      <c r="N63" s="34">
        <v>3384177014</v>
      </c>
    </row>
    <row r="64" spans="1:14" ht="16.5">
      <c r="A64" s="29">
        <v>61</v>
      </c>
      <c r="B64" s="43">
        <v>45805</v>
      </c>
      <c r="C64" s="34" t="s">
        <v>29</v>
      </c>
      <c r="D64" s="34" t="s">
        <v>30</v>
      </c>
      <c r="E64" s="34" t="s">
        <v>148</v>
      </c>
      <c r="F64" s="34">
        <v>30</v>
      </c>
      <c r="G64" s="34" t="s">
        <v>32</v>
      </c>
      <c r="H64" s="36">
        <v>230</v>
      </c>
      <c r="I64" s="36"/>
      <c r="J64" s="36"/>
      <c r="K64" s="36"/>
      <c r="L64" s="34">
        <v>1</v>
      </c>
      <c r="M64" s="37" t="s">
        <v>78</v>
      </c>
      <c r="N64" s="34">
        <v>3332304722</v>
      </c>
    </row>
    <row r="65" spans="1:14" ht="16.5">
      <c r="A65" s="29">
        <v>62</v>
      </c>
      <c r="B65" s="43">
        <v>45805</v>
      </c>
      <c r="C65" s="34" t="s">
        <v>29</v>
      </c>
      <c r="D65" s="34" t="s">
        <v>30</v>
      </c>
      <c r="E65" s="34" t="s">
        <v>149</v>
      </c>
      <c r="F65" s="34">
        <v>66</v>
      </c>
      <c r="G65" s="34" t="s">
        <v>42</v>
      </c>
      <c r="H65" s="36">
        <v>230</v>
      </c>
      <c r="I65" s="36"/>
      <c r="J65" s="36"/>
      <c r="K65" s="36"/>
      <c r="L65" s="34">
        <v>1</v>
      </c>
      <c r="M65" s="37" t="s">
        <v>37</v>
      </c>
      <c r="N65" s="34">
        <v>3332304722</v>
      </c>
    </row>
    <row r="66" spans="1:14" ht="16.5">
      <c r="A66" s="29">
        <v>63</v>
      </c>
      <c r="B66" s="43">
        <v>45805</v>
      </c>
      <c r="C66" s="34" t="s">
        <v>34</v>
      </c>
      <c r="D66" s="34" t="s">
        <v>53</v>
      </c>
      <c r="E66" s="34" t="s">
        <v>150</v>
      </c>
      <c r="F66" s="34">
        <v>59</v>
      </c>
      <c r="G66" s="34" t="s">
        <v>32</v>
      </c>
      <c r="H66" s="36">
        <v>1796</v>
      </c>
      <c r="I66" s="36">
        <v>100</v>
      </c>
      <c r="J66" s="36">
        <v>50</v>
      </c>
      <c r="K66" s="36"/>
      <c r="L66" s="34">
        <v>12</v>
      </c>
      <c r="M66" s="34" t="s">
        <v>91</v>
      </c>
      <c r="N66" s="34">
        <v>3403686364</v>
      </c>
    </row>
    <row r="67" spans="1:14" ht="16.5">
      <c r="A67" s="29">
        <v>64</v>
      </c>
      <c r="B67" s="43">
        <v>45805</v>
      </c>
      <c r="C67" s="34" t="s">
        <v>124</v>
      </c>
      <c r="D67" s="34" t="s">
        <v>125</v>
      </c>
      <c r="E67" s="34" t="s">
        <v>151</v>
      </c>
      <c r="F67" s="34">
        <v>42</v>
      </c>
      <c r="G67" s="34" t="s">
        <v>32</v>
      </c>
      <c r="H67" s="36"/>
      <c r="I67" s="36"/>
      <c r="J67" s="36"/>
      <c r="K67" s="36">
        <v>79</v>
      </c>
      <c r="L67" s="34">
        <v>12</v>
      </c>
      <c r="M67" s="34" t="s">
        <v>127</v>
      </c>
      <c r="N67" s="34">
        <v>3469587207</v>
      </c>
    </row>
    <row r="68" spans="1:14" ht="16.5">
      <c r="A68" s="29">
        <v>65</v>
      </c>
      <c r="B68" s="43">
        <v>45806</v>
      </c>
      <c r="C68" s="34" t="s">
        <v>29</v>
      </c>
      <c r="D68" s="34"/>
      <c r="E68" s="34" t="s">
        <v>152</v>
      </c>
      <c r="F68" s="34">
        <v>67</v>
      </c>
      <c r="G68" s="34" t="s">
        <v>42</v>
      </c>
      <c r="H68" s="36">
        <v>1000</v>
      </c>
      <c r="I68" s="36"/>
      <c r="J68" s="36"/>
      <c r="K68" s="36"/>
      <c r="L68" s="34">
        <v>4</v>
      </c>
      <c r="M68" s="37" t="s">
        <v>153</v>
      </c>
      <c r="N68" s="34">
        <v>3384093302</v>
      </c>
    </row>
    <row r="69" spans="1:14" ht="16.5">
      <c r="A69" s="29">
        <v>66</v>
      </c>
      <c r="B69" s="43">
        <v>45806</v>
      </c>
      <c r="C69" s="34" t="s">
        <v>68</v>
      </c>
      <c r="D69" s="34" t="s">
        <v>40</v>
      </c>
      <c r="E69" s="34" t="s">
        <v>154</v>
      </c>
      <c r="F69" s="34">
        <v>20</v>
      </c>
      <c r="G69" s="34" t="s">
        <v>42</v>
      </c>
      <c r="H69" s="36">
        <v>1068</v>
      </c>
      <c r="I69" s="36">
        <v>50</v>
      </c>
      <c r="J69" s="36"/>
      <c r="K69" s="36"/>
      <c r="L69" s="34">
        <v>12</v>
      </c>
      <c r="M69" s="34" t="s">
        <v>155</v>
      </c>
      <c r="N69" s="34">
        <v>3477187243</v>
      </c>
    </row>
    <row r="70" spans="1:14" ht="16.5">
      <c r="A70" s="29">
        <v>67</v>
      </c>
      <c r="B70" s="43">
        <v>45806</v>
      </c>
      <c r="C70" s="34" t="s">
        <v>68</v>
      </c>
      <c r="D70" s="34" t="s">
        <v>40</v>
      </c>
      <c r="E70" s="34" t="s">
        <v>156</v>
      </c>
      <c r="F70" s="34">
        <v>55</v>
      </c>
      <c r="G70" s="34" t="s">
        <v>32</v>
      </c>
      <c r="H70" s="36">
        <v>1846</v>
      </c>
      <c r="I70" s="36">
        <v>50</v>
      </c>
      <c r="J70" s="36">
        <v>50</v>
      </c>
      <c r="K70" s="36"/>
      <c r="L70" s="34">
        <v>12</v>
      </c>
      <c r="M70" s="34" t="s">
        <v>91</v>
      </c>
      <c r="N70" s="34">
        <v>3476474819</v>
      </c>
    </row>
    <row r="71" spans="1:14" ht="16.5">
      <c r="A71" s="29">
        <v>68</v>
      </c>
      <c r="B71" s="43">
        <v>45806</v>
      </c>
      <c r="C71" s="34" t="s">
        <v>10</v>
      </c>
      <c r="D71" s="34" t="s">
        <v>34</v>
      </c>
      <c r="E71" s="34" t="s">
        <v>157</v>
      </c>
      <c r="F71" s="34">
        <v>24</v>
      </c>
      <c r="G71" s="34" t="s">
        <v>32</v>
      </c>
      <c r="H71" s="36">
        <v>230</v>
      </c>
      <c r="I71" s="36"/>
      <c r="J71" s="36"/>
      <c r="K71" s="36"/>
      <c r="L71" s="34">
        <v>1</v>
      </c>
      <c r="M71" s="37" t="s">
        <v>158</v>
      </c>
      <c r="N71" s="34">
        <v>3926131550</v>
      </c>
    </row>
    <row r="72" spans="1:14" ht="16.5">
      <c r="A72" s="29">
        <v>69</v>
      </c>
      <c r="B72" s="43">
        <v>45806</v>
      </c>
      <c r="C72" s="34" t="s">
        <v>34</v>
      </c>
      <c r="D72" s="34" t="s">
        <v>50</v>
      </c>
      <c r="E72" s="34" t="s">
        <v>159</v>
      </c>
      <c r="F72" s="34">
        <v>58</v>
      </c>
      <c r="G72" s="34" t="s">
        <v>42</v>
      </c>
      <c r="H72" s="36">
        <v>460</v>
      </c>
      <c r="I72" s="36"/>
      <c r="J72" s="36"/>
      <c r="K72" s="36"/>
      <c r="L72" s="34">
        <v>1</v>
      </c>
      <c r="M72" s="37" t="s">
        <v>160</v>
      </c>
      <c r="N72" s="34">
        <v>3355251377</v>
      </c>
    </row>
    <row r="73" spans="1:14" ht="16.5">
      <c r="A73" s="29">
        <v>70</v>
      </c>
      <c r="B73" s="43">
        <v>45806</v>
      </c>
      <c r="C73" s="34" t="s">
        <v>10</v>
      </c>
      <c r="D73" s="34" t="s">
        <v>161</v>
      </c>
      <c r="E73" s="34" t="s">
        <v>162</v>
      </c>
      <c r="F73" s="34"/>
      <c r="G73" s="34" t="s">
        <v>42</v>
      </c>
      <c r="H73" s="36">
        <v>16200</v>
      </c>
      <c r="I73" s="36"/>
      <c r="J73" s="36"/>
      <c r="K73" s="36">
        <v>79</v>
      </c>
      <c r="L73" s="34">
        <v>12</v>
      </c>
      <c r="M73" s="34" t="s">
        <v>163</v>
      </c>
      <c r="N73" s="34">
        <v>447391974497</v>
      </c>
    </row>
    <row r="74" spans="1:14" ht="16.5">
      <c r="A74" s="29">
        <v>71</v>
      </c>
      <c r="B74" s="43">
        <v>45806</v>
      </c>
      <c r="C74" s="34" t="s">
        <v>10</v>
      </c>
      <c r="D74" s="34" t="s">
        <v>161</v>
      </c>
      <c r="E74" s="34" t="s">
        <v>162</v>
      </c>
      <c r="F74" s="34"/>
      <c r="G74" s="34" t="s">
        <v>32</v>
      </c>
      <c r="H74" s="36"/>
      <c r="I74" s="36"/>
      <c r="J74" s="36"/>
      <c r="K74" s="36">
        <v>79</v>
      </c>
      <c r="L74" s="34">
        <v>12</v>
      </c>
      <c r="M74" s="34" t="s">
        <v>163</v>
      </c>
      <c r="N74" s="34">
        <v>447391974497</v>
      </c>
    </row>
    <row r="75" spans="1:14" ht="16.5">
      <c r="A75" s="29">
        <v>72</v>
      </c>
      <c r="B75" s="34"/>
      <c r="C75" s="34"/>
      <c r="D75" s="34"/>
      <c r="E75" s="34"/>
      <c r="F75" s="34"/>
      <c r="G75" s="34"/>
      <c r="H75" s="36"/>
      <c r="I75" s="36"/>
      <c r="J75" s="36"/>
      <c r="K75" s="36"/>
      <c r="L75" s="34"/>
      <c r="M75" s="34"/>
      <c r="N75" s="34"/>
    </row>
    <row r="76" spans="1:14" ht="16.5">
      <c r="A76" s="29">
        <v>73</v>
      </c>
      <c r="B76" s="38"/>
      <c r="C76" s="38"/>
      <c r="D76" s="38"/>
      <c r="E76" s="38"/>
      <c r="F76" s="38"/>
      <c r="G76" s="38"/>
      <c r="H76" s="55"/>
      <c r="I76" s="55"/>
      <c r="J76" s="55"/>
      <c r="K76" s="55"/>
      <c r="L76" s="38"/>
      <c r="M76" s="38"/>
      <c r="N76" s="38"/>
    </row>
    <row r="77" spans="1:14" ht="16.5">
      <c r="A77" s="29">
        <v>74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ht="16.5">
      <c r="A78" s="29">
        <v>75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ht="16.5">
      <c r="A79" s="29">
        <v>76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ht="16.5">
      <c r="A80" s="29">
        <v>77</v>
      </c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ht="16.5">
      <c r="A81" s="29">
        <v>78</v>
      </c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</row>
    <row r="82" spans="1:14" ht="16.5">
      <c r="A82" s="29">
        <v>79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</row>
    <row r="83" spans="1:14" ht="16.5">
      <c r="A83" s="29">
        <v>80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</row>
    <row r="84" spans="1:14" ht="16.5">
      <c r="A84" s="29">
        <v>81</v>
      </c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</row>
    <row r="85" spans="1:14" ht="16.5">
      <c r="A85" s="29">
        <v>82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</row>
    <row r="86" spans="1:14" ht="16.5">
      <c r="A86" s="29">
        <v>83</v>
      </c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</row>
    <row r="87" spans="1:14" ht="16.5">
      <c r="A87" s="29">
        <v>84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</row>
  </sheetData>
  <mergeCells count="3">
    <mergeCell ref="A1:N1"/>
    <mergeCell ref="P2:AD2"/>
    <mergeCell ref="K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Lorella Gravante</dc:creator>
  <cp:lastModifiedBy>Lorella Gravante</cp:lastModifiedBy>
  <dcterms:created xsi:type="dcterms:W3CDTF">2026-05-12T14:17:19Z</dcterms:created>
  <dcterms:modified xsi:type="dcterms:W3CDTF">2026-05-12T14:19:12Z</dcterms:modified>
</cp:coreProperties>
</file>